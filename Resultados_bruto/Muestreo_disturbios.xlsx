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studiante\Documents\TESIS\Resultados_bruto\"/>
    </mc:Choice>
  </mc:AlternateContent>
  <xr:revisionPtr revIDLastSave="0" documentId="13_ncr:1_{62E9A133-4F64-4E50-A8D6-E605C0D8926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LANILLA" sheetId="1" r:id="rId1"/>
    <sheet name="Cuadro" sheetId="4" r:id="rId2"/>
    <sheet name="Hoja1" sheetId="3" r:id="rId3"/>
    <sheet name="RESUMEN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2" i="1"/>
  <c r="M2" i="1"/>
  <c r="M3" i="1"/>
  <c r="M4" i="1"/>
</calcChain>
</file>

<file path=xl/sharedStrings.xml><?xml version="1.0" encoding="utf-8"?>
<sst xmlns="http://schemas.openxmlformats.org/spreadsheetml/2006/main" count="441" uniqueCount="90">
  <si>
    <t>n</t>
  </si>
  <si>
    <t>parcela_ID</t>
  </si>
  <si>
    <t>date</t>
  </si>
  <si>
    <t>coordenadas</t>
  </si>
  <si>
    <t>93</t>
  </si>
  <si>
    <t>[-64.104021, -22.993020]</t>
  </si>
  <si>
    <t>166</t>
  </si>
  <si>
    <t>[-63.999917, -22.736457]</t>
  </si>
  <si>
    <t>97</t>
  </si>
  <si>
    <t>[-64.099933, -23.140496]</t>
  </si>
  <si>
    <t>204</t>
  </si>
  <si>
    <t>[-63.950717, -23.026820]</t>
  </si>
  <si>
    <t>124</t>
  </si>
  <si>
    <t>[-64.062855, -23.137698]</t>
  </si>
  <si>
    <t>95</t>
  </si>
  <si>
    <t>[-64.102951, -23.069140]</t>
  </si>
  <si>
    <t>174</t>
  </si>
  <si>
    <t>[-63.987439, -23.025179]</t>
  </si>
  <si>
    <t>169</t>
  </si>
  <si>
    <t>[-63.997065, -22.844923]</t>
  </si>
  <si>
    <t>112</t>
  </si>
  <si>
    <t>[-64.079421, -22.699296]</t>
  </si>
  <si>
    <t>170-S</t>
  </si>
  <si>
    <t>[-63.947651, -23.102483]</t>
  </si>
  <si>
    <t>199</t>
  </si>
  <si>
    <t>[-63.955709, -22.844266]</t>
  </si>
  <si>
    <t>137</t>
  </si>
  <si>
    <t>[-64.042343, -22.659493]</t>
  </si>
  <si>
    <t>165</t>
  </si>
  <si>
    <t>[-63.999560, -22.698309]</t>
  </si>
  <si>
    <t>134-S</t>
  </si>
  <si>
    <t>[-64.022877, -23.175259]</t>
  </si>
  <si>
    <t>168</t>
  </si>
  <si>
    <t>[-63.997778, -22.811735]</t>
  </si>
  <si>
    <t>198</t>
  </si>
  <si>
    <t>[-63.957848, -22.810092]</t>
  </si>
  <si>
    <t>109</t>
  </si>
  <si>
    <t>[-64.081560, -22.589727]</t>
  </si>
  <si>
    <t>136</t>
  </si>
  <si>
    <t>[-64.041630, -22.625930]</t>
  </si>
  <si>
    <t>163</t>
  </si>
  <si>
    <t>[-64.002769, -22.624285]</t>
  </si>
  <si>
    <t>92</t>
  </si>
  <si>
    <t>[-64.105447, -22.959868]</t>
  </si>
  <si>
    <t>114</t>
  </si>
  <si>
    <t>[-64.074786, -22.772951]</t>
  </si>
  <si>
    <t>172-S</t>
  </si>
  <si>
    <t>[-63.940640, -23.248546]</t>
  </si>
  <si>
    <t>98</t>
  </si>
  <si>
    <t>[-64.100598, -23.175259]</t>
  </si>
  <si>
    <t>192</t>
  </si>
  <si>
    <t>[-63.964621, -22.580839]</t>
  </si>
  <si>
    <t>116</t>
  </si>
  <si>
    <t>[-64.073360, -22.847551]</t>
  </si>
  <si>
    <t>117</t>
  </si>
  <si>
    <t>[-64.071577, -22.884015]</t>
  </si>
  <si>
    <t>188</t>
  </si>
  <si>
    <t>[-63.923305, -22.436312]</t>
  </si>
  <si>
    <t>195</t>
  </si>
  <si>
    <t>[-63.959274, -22.697651]</t>
  </si>
  <si>
    <t>94</t>
  </si>
  <si>
    <t>[-64.106516, -23.029445]</t>
  </si>
  <si>
    <t>75</t>
  </si>
  <si>
    <t>[-64.138033, -23.215239]</t>
  </si>
  <si>
    <t>land 5</t>
  </si>
  <si>
    <t>land 8</t>
  </si>
  <si>
    <t>2 años atrás</t>
  </si>
  <si>
    <t>1 año adelante</t>
  </si>
  <si>
    <t>sentinel 2</t>
  </si>
  <si>
    <t>2 año adelante</t>
  </si>
  <si>
    <t>1 año atrás</t>
  </si>
  <si>
    <t>evidente</t>
  </si>
  <si>
    <t>si</t>
  </si>
  <si>
    <t>signo</t>
  </si>
  <si>
    <t>+</t>
  </si>
  <si>
    <t>-</t>
  </si>
  <si>
    <t>no</t>
  </si>
  <si>
    <t>incierto</t>
  </si>
  <si>
    <t>id</t>
  </si>
  <si>
    <t>Contabilizar</t>
  </si>
  <si>
    <t>%</t>
  </si>
  <si>
    <t>Presencia EVIDENTE o no de Disturbios</t>
  </si>
  <si>
    <t xml:space="preserve">RECUENTO </t>
  </si>
  <si>
    <t>Fechas viejas</t>
  </si>
  <si>
    <t>N° Muestra</t>
  </si>
  <si>
    <t>Parcela</t>
  </si>
  <si>
    <t>Fecha</t>
  </si>
  <si>
    <t>Coordenadas</t>
  </si>
  <si>
    <t>Evidente</t>
  </si>
  <si>
    <t>Signo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</si>
</sst>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9" fillId="3" borderId="0" xfId="0" applyFont="1" applyFill="1"/>
    <xf numFmtId="0" fontId="9" fillId="4" borderId="0" xfId="0" applyFont="1" applyFill="1"/>
    <xf numFmtId="0" fontId="9" fillId="5" borderId="0" xfId="0" applyFont="1" applyFill="1"/>
    <xf numFmtId="0" fontId="0" fillId="6" borderId="0" xfId="0" applyFill="1"/>
    <xf numFmtId="164" fontId="1" fillId="6" borderId="0" xfId="0" applyNumberFormat="1" applyFont="1" applyFill="1"/>
    <xf numFmtId="0" fontId="0" fillId="6" borderId="0" xfId="0" applyFill="1" applyAlignment="1">
      <alignment horizontal="center" vertical="center"/>
    </xf>
    <xf numFmtId="0" fontId="5" fillId="6" borderId="0" xfId="0" applyFont="1" applyFill="1"/>
    <xf numFmtId="0" fontId="10" fillId="2" borderId="0" xfId="0" applyFont="1" applyFill="1"/>
    <xf numFmtId="0" fontId="10" fillId="0" borderId="0" xfId="0" applyFont="1"/>
    <xf numFmtId="164" fontId="11" fillId="0" borderId="0" xfId="0" applyNumberFormat="1" applyFont="1"/>
    <xf numFmtId="0" fontId="12" fillId="0" borderId="0" xfId="0" applyFont="1"/>
    <xf numFmtId="164" fontId="13" fillId="0" borderId="0" xfId="0" applyNumberFormat="1" applyFont="1"/>
    <xf numFmtId="0" fontId="12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Fill="1"/>
    <xf numFmtId="164" fontId="13" fillId="0" borderId="0" xfId="0" applyNumberFormat="1" applyFont="1" applyFill="1"/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opLeftCell="A21" workbookViewId="0">
      <selection activeCell="C1" sqref="C1:G41"/>
    </sheetView>
  </sheetViews>
  <sheetFormatPr baseColWidth="10" defaultRowHeight="15" x14ac:dyDescent="0.25"/>
  <cols>
    <col min="5" max="5" width="22.28515625" bestFit="1" customWidth="1"/>
    <col min="6" max="7" width="9.28515625" customWidth="1"/>
    <col min="11" max="11" width="14" bestFit="1" customWidth="1"/>
  </cols>
  <sheetData>
    <row r="1" spans="1:15" x14ac:dyDescent="0.25">
      <c r="A1" t="s">
        <v>78</v>
      </c>
      <c r="B1" s="2" t="s">
        <v>0</v>
      </c>
      <c r="C1" s="3" t="s">
        <v>1</v>
      </c>
      <c r="D1" s="4" t="s">
        <v>2</v>
      </c>
      <c r="E1" s="4" t="s">
        <v>3</v>
      </c>
      <c r="F1" s="4" t="s">
        <v>71</v>
      </c>
      <c r="G1" s="4" t="s">
        <v>73</v>
      </c>
      <c r="L1" s="3" t="s">
        <v>79</v>
      </c>
    </row>
    <row r="2" spans="1:15" x14ac:dyDescent="0.25">
      <c r="A2">
        <v>1</v>
      </c>
      <c r="B2" s="8">
        <v>1</v>
      </c>
      <c r="C2" t="s">
        <v>4</v>
      </c>
      <c r="D2" s="1">
        <v>38211</v>
      </c>
      <c r="E2" t="s">
        <v>5</v>
      </c>
      <c r="F2" t="s">
        <v>72</v>
      </c>
      <c r="G2" s="9" t="s">
        <v>74</v>
      </c>
      <c r="H2" s="7" t="s">
        <v>64</v>
      </c>
      <c r="I2" s="7" t="s">
        <v>64</v>
      </c>
      <c r="L2" t="s">
        <v>72</v>
      </c>
      <c r="M2">
        <f>COUNTIF(F2:F41,L2)</f>
        <v>24</v>
      </c>
      <c r="N2">
        <f>(M2*100)/40</f>
        <v>60</v>
      </c>
      <c r="O2" t="s">
        <v>80</v>
      </c>
    </row>
    <row r="3" spans="1:15" x14ac:dyDescent="0.25">
      <c r="A3">
        <v>2</v>
      </c>
      <c r="B3" s="8">
        <v>5</v>
      </c>
      <c r="C3" t="s">
        <v>6</v>
      </c>
      <c r="D3" s="1">
        <v>38449</v>
      </c>
      <c r="E3" t="s">
        <v>7</v>
      </c>
      <c r="F3" t="s">
        <v>72</v>
      </c>
      <c r="G3" s="9" t="s">
        <v>75</v>
      </c>
      <c r="H3" s="7" t="s">
        <v>64</v>
      </c>
      <c r="I3" s="7" t="s">
        <v>64</v>
      </c>
      <c r="L3" t="s">
        <v>76</v>
      </c>
      <c r="M3">
        <f t="shared" ref="M3:M4" si="0">COUNTIF(F3:F34,L3)</f>
        <v>12</v>
      </c>
      <c r="N3">
        <f t="shared" ref="N3:N4" si="1">(M3*100)/40</f>
        <v>30</v>
      </c>
      <c r="O3" t="s">
        <v>80</v>
      </c>
    </row>
    <row r="4" spans="1:15" x14ac:dyDescent="0.25">
      <c r="A4">
        <v>3</v>
      </c>
      <c r="B4" s="8">
        <v>8</v>
      </c>
      <c r="C4" t="s">
        <v>8</v>
      </c>
      <c r="D4" s="1">
        <v>38737</v>
      </c>
      <c r="E4" t="s">
        <v>9</v>
      </c>
      <c r="F4" t="s">
        <v>72</v>
      </c>
      <c r="G4" s="9" t="s">
        <v>75</v>
      </c>
      <c r="H4" s="7" t="s">
        <v>64</v>
      </c>
      <c r="I4" s="7" t="s">
        <v>64</v>
      </c>
      <c r="L4" t="s">
        <v>77</v>
      </c>
      <c r="M4">
        <f t="shared" si="0"/>
        <v>4</v>
      </c>
      <c r="N4">
        <f t="shared" si="1"/>
        <v>10</v>
      </c>
      <c r="O4" t="s">
        <v>80</v>
      </c>
    </row>
    <row r="5" spans="1:15" x14ac:dyDescent="0.25">
      <c r="A5">
        <v>4</v>
      </c>
      <c r="B5" s="8">
        <v>11</v>
      </c>
      <c r="C5" t="s">
        <v>10</v>
      </c>
      <c r="D5" s="1">
        <v>38814</v>
      </c>
      <c r="E5" t="s">
        <v>11</v>
      </c>
      <c r="F5" t="s">
        <v>72</v>
      </c>
      <c r="G5" s="9" t="s">
        <v>75</v>
      </c>
      <c r="H5" s="7" t="s">
        <v>64</v>
      </c>
      <c r="I5" s="7" t="s">
        <v>64</v>
      </c>
    </row>
    <row r="6" spans="1:15" x14ac:dyDescent="0.25">
      <c r="A6">
        <v>5</v>
      </c>
      <c r="B6" s="8">
        <v>14</v>
      </c>
      <c r="C6" t="s">
        <v>12</v>
      </c>
      <c r="D6" s="1">
        <v>38910</v>
      </c>
      <c r="E6" t="s">
        <v>13</v>
      </c>
      <c r="F6" t="s">
        <v>72</v>
      </c>
      <c r="G6" s="9" t="s">
        <v>75</v>
      </c>
      <c r="H6" s="7" t="s">
        <v>64</v>
      </c>
      <c r="I6" s="7" t="s">
        <v>64</v>
      </c>
    </row>
    <row r="7" spans="1:15" x14ac:dyDescent="0.25">
      <c r="A7">
        <v>6</v>
      </c>
      <c r="B7" s="8">
        <v>15</v>
      </c>
      <c r="C7" t="s">
        <v>14</v>
      </c>
      <c r="D7" s="1">
        <v>38926</v>
      </c>
      <c r="E7" t="s">
        <v>15</v>
      </c>
      <c r="F7" t="s">
        <v>76</v>
      </c>
      <c r="G7" s="9"/>
      <c r="H7" s="7" t="s">
        <v>64</v>
      </c>
      <c r="I7" s="7" t="s">
        <v>64</v>
      </c>
    </row>
    <row r="8" spans="1:15" x14ac:dyDescent="0.25">
      <c r="A8">
        <v>7</v>
      </c>
      <c r="B8" s="8">
        <v>16</v>
      </c>
      <c r="C8" t="s">
        <v>16</v>
      </c>
      <c r="D8" s="1">
        <v>38942</v>
      </c>
      <c r="E8" t="s">
        <v>17</v>
      </c>
      <c r="F8" t="s">
        <v>76</v>
      </c>
      <c r="G8" s="9"/>
      <c r="H8" s="7" t="s">
        <v>64</v>
      </c>
      <c r="I8" s="7" t="s">
        <v>64</v>
      </c>
    </row>
    <row r="9" spans="1:15" x14ac:dyDescent="0.25">
      <c r="A9">
        <v>8</v>
      </c>
      <c r="B9" s="8">
        <v>18</v>
      </c>
      <c r="C9" t="s">
        <v>18</v>
      </c>
      <c r="D9" s="1">
        <v>39371</v>
      </c>
      <c r="E9" t="s">
        <v>19</v>
      </c>
      <c r="F9" t="s">
        <v>72</v>
      </c>
      <c r="G9" s="9" t="s">
        <v>74</v>
      </c>
      <c r="H9" s="7" t="s">
        <v>64</v>
      </c>
      <c r="I9" s="7" t="s">
        <v>64</v>
      </c>
    </row>
    <row r="10" spans="1:15" x14ac:dyDescent="0.25">
      <c r="A10">
        <v>9</v>
      </c>
      <c r="B10" s="8">
        <v>19</v>
      </c>
      <c r="C10" t="s">
        <v>20</v>
      </c>
      <c r="D10" s="1">
        <v>40022</v>
      </c>
      <c r="E10" t="s">
        <v>21</v>
      </c>
      <c r="F10" t="s">
        <v>72</v>
      </c>
      <c r="G10" s="9" t="s">
        <v>75</v>
      </c>
      <c r="H10" s="7" t="s">
        <v>64</v>
      </c>
      <c r="I10" s="7" t="s">
        <v>64</v>
      </c>
    </row>
    <row r="11" spans="1:15" x14ac:dyDescent="0.25">
      <c r="A11">
        <v>10</v>
      </c>
      <c r="B11" s="8">
        <v>21</v>
      </c>
      <c r="C11" t="s">
        <v>22</v>
      </c>
      <c r="D11" s="1">
        <v>40054</v>
      </c>
      <c r="E11" t="s">
        <v>23</v>
      </c>
      <c r="F11" t="s">
        <v>72</v>
      </c>
      <c r="G11" s="9" t="s">
        <v>75</v>
      </c>
      <c r="H11" s="7" t="s">
        <v>64</v>
      </c>
      <c r="I11" s="7" t="s">
        <v>64</v>
      </c>
    </row>
    <row r="12" spans="1:15" x14ac:dyDescent="0.25">
      <c r="A12">
        <v>11</v>
      </c>
      <c r="B12" s="8">
        <v>22</v>
      </c>
      <c r="C12" t="s">
        <v>24</v>
      </c>
      <c r="D12" s="1">
        <v>40134</v>
      </c>
      <c r="E12" t="s">
        <v>25</v>
      </c>
      <c r="F12" t="s">
        <v>72</v>
      </c>
      <c r="G12" s="9" t="s">
        <v>75</v>
      </c>
      <c r="H12" s="7" t="s">
        <v>64</v>
      </c>
      <c r="I12" s="7" t="s">
        <v>64</v>
      </c>
    </row>
    <row r="13" spans="1:15" x14ac:dyDescent="0.25">
      <c r="A13">
        <v>12</v>
      </c>
      <c r="B13" s="22">
        <v>23</v>
      </c>
      <c r="C13" s="23" t="s">
        <v>4</v>
      </c>
      <c r="D13" s="24">
        <v>40355</v>
      </c>
      <c r="E13" t="s">
        <v>5</v>
      </c>
      <c r="F13" t="s">
        <v>72</v>
      </c>
      <c r="G13" s="9" t="s">
        <v>75</v>
      </c>
      <c r="H13" s="7" t="s">
        <v>64</v>
      </c>
      <c r="I13" s="7" t="s">
        <v>64</v>
      </c>
    </row>
    <row r="14" spans="1:15" x14ac:dyDescent="0.25">
      <c r="A14">
        <v>13</v>
      </c>
      <c r="B14" s="8">
        <v>24</v>
      </c>
      <c r="C14" t="s">
        <v>26</v>
      </c>
      <c r="D14" s="1">
        <v>40451</v>
      </c>
      <c r="E14" t="s">
        <v>27</v>
      </c>
      <c r="F14" t="s">
        <v>72</v>
      </c>
      <c r="G14" s="9" t="s">
        <v>74</v>
      </c>
      <c r="H14" s="7" t="s">
        <v>64</v>
      </c>
      <c r="I14" s="7" t="s">
        <v>64</v>
      </c>
    </row>
    <row r="15" spans="1:15" x14ac:dyDescent="0.25">
      <c r="A15">
        <v>14</v>
      </c>
      <c r="B15" s="8">
        <v>26</v>
      </c>
      <c r="C15" t="s">
        <v>28</v>
      </c>
      <c r="D15" s="1">
        <v>40973</v>
      </c>
      <c r="E15" t="s">
        <v>29</v>
      </c>
      <c r="F15" t="s">
        <v>72</v>
      </c>
      <c r="G15" s="9" t="s">
        <v>74</v>
      </c>
      <c r="H15" t="s">
        <v>64</v>
      </c>
      <c r="I15" t="s">
        <v>65</v>
      </c>
      <c r="J15" t="s">
        <v>70</v>
      </c>
      <c r="K15" t="s">
        <v>69</v>
      </c>
    </row>
    <row r="16" spans="1:15" x14ac:dyDescent="0.25">
      <c r="A16">
        <v>15</v>
      </c>
      <c r="B16" s="8">
        <v>28</v>
      </c>
      <c r="C16" t="s">
        <v>30</v>
      </c>
      <c r="D16" s="1">
        <v>41181</v>
      </c>
      <c r="E16" t="s">
        <v>31</v>
      </c>
      <c r="F16" t="s">
        <v>76</v>
      </c>
      <c r="H16" t="s">
        <v>64</v>
      </c>
      <c r="I16" t="s">
        <v>65</v>
      </c>
      <c r="J16" t="s">
        <v>66</v>
      </c>
      <c r="K16" t="s">
        <v>69</v>
      </c>
    </row>
    <row r="17" spans="1:11" x14ac:dyDescent="0.25">
      <c r="A17">
        <v>16</v>
      </c>
      <c r="B17" s="8">
        <v>30</v>
      </c>
      <c r="C17" t="s">
        <v>32</v>
      </c>
      <c r="D17" s="1">
        <v>41229</v>
      </c>
      <c r="E17" t="s">
        <v>33</v>
      </c>
      <c r="F17" t="s">
        <v>77</v>
      </c>
      <c r="H17" t="s">
        <v>64</v>
      </c>
      <c r="I17" t="s">
        <v>65</v>
      </c>
      <c r="J17" t="s">
        <v>66</v>
      </c>
      <c r="K17" t="s">
        <v>69</v>
      </c>
    </row>
    <row r="18" spans="1:11" x14ac:dyDescent="0.25">
      <c r="A18">
        <v>17</v>
      </c>
      <c r="B18" s="8">
        <v>31</v>
      </c>
      <c r="C18" t="s">
        <v>34</v>
      </c>
      <c r="D18" s="1">
        <v>41229</v>
      </c>
      <c r="E18" t="s">
        <v>35</v>
      </c>
      <c r="F18" t="s">
        <v>72</v>
      </c>
      <c r="G18" s="9" t="s">
        <v>75</v>
      </c>
      <c r="H18" t="s">
        <v>64</v>
      </c>
      <c r="I18" t="s">
        <v>65</v>
      </c>
      <c r="J18" t="s">
        <v>66</v>
      </c>
      <c r="K18" t="s">
        <v>69</v>
      </c>
    </row>
    <row r="19" spans="1:11" x14ac:dyDescent="0.25">
      <c r="A19">
        <v>18</v>
      </c>
      <c r="B19" s="8">
        <v>37</v>
      </c>
      <c r="C19" t="s">
        <v>36</v>
      </c>
      <c r="D19" s="1">
        <v>41499</v>
      </c>
      <c r="E19" t="s">
        <v>37</v>
      </c>
      <c r="F19" t="s">
        <v>72</v>
      </c>
      <c r="G19" s="9" t="s">
        <v>75</v>
      </c>
      <c r="H19" t="s">
        <v>64</v>
      </c>
      <c r="I19" t="s">
        <v>65</v>
      </c>
      <c r="J19" t="s">
        <v>66</v>
      </c>
      <c r="K19" t="s">
        <v>67</v>
      </c>
    </row>
    <row r="20" spans="1:11" x14ac:dyDescent="0.25">
      <c r="A20">
        <v>19</v>
      </c>
      <c r="B20" s="8">
        <v>39</v>
      </c>
      <c r="C20" t="s">
        <v>38</v>
      </c>
      <c r="D20" s="1">
        <v>41531</v>
      </c>
      <c r="E20" t="s">
        <v>39</v>
      </c>
      <c r="F20" t="s">
        <v>72</v>
      </c>
      <c r="G20" s="10" t="s">
        <v>74</v>
      </c>
      <c r="H20" t="s">
        <v>64</v>
      </c>
      <c r="I20" t="s">
        <v>65</v>
      </c>
      <c r="J20" t="s">
        <v>66</v>
      </c>
      <c r="K20" t="s">
        <v>67</v>
      </c>
    </row>
    <row r="21" spans="1:11" x14ac:dyDescent="0.25">
      <c r="A21">
        <v>20</v>
      </c>
      <c r="B21" s="8">
        <v>40</v>
      </c>
      <c r="C21" t="s">
        <v>40</v>
      </c>
      <c r="D21" s="1">
        <v>41531</v>
      </c>
      <c r="E21" t="s">
        <v>41</v>
      </c>
      <c r="F21" t="s">
        <v>72</v>
      </c>
      <c r="G21" s="10" t="s">
        <v>75</v>
      </c>
      <c r="H21" t="s">
        <v>64</v>
      </c>
      <c r="I21" t="s">
        <v>65</v>
      </c>
      <c r="J21" t="s">
        <v>66</v>
      </c>
      <c r="K21" t="s">
        <v>67</v>
      </c>
    </row>
    <row r="22" spans="1:11" x14ac:dyDescent="0.25">
      <c r="A22">
        <v>21</v>
      </c>
      <c r="B22" s="8">
        <v>46</v>
      </c>
      <c r="C22" t="s">
        <v>42</v>
      </c>
      <c r="D22" s="1">
        <v>41720</v>
      </c>
      <c r="E22" t="s">
        <v>43</v>
      </c>
      <c r="F22" t="s">
        <v>76</v>
      </c>
      <c r="G22" s="10"/>
      <c r="H22" s="5" t="s">
        <v>65</v>
      </c>
      <c r="I22" s="5" t="s">
        <v>65</v>
      </c>
    </row>
    <row r="23" spans="1:11" x14ac:dyDescent="0.25">
      <c r="A23">
        <v>22</v>
      </c>
      <c r="B23" s="8">
        <v>48</v>
      </c>
      <c r="C23" t="s">
        <v>16</v>
      </c>
      <c r="D23" s="1">
        <v>41720</v>
      </c>
      <c r="E23" t="s">
        <v>17</v>
      </c>
      <c r="F23" t="s">
        <v>76</v>
      </c>
      <c r="G23" s="10"/>
      <c r="H23" s="5" t="s">
        <v>65</v>
      </c>
      <c r="I23" s="5" t="s">
        <v>65</v>
      </c>
    </row>
    <row r="24" spans="1:11" x14ac:dyDescent="0.25">
      <c r="A24">
        <v>23</v>
      </c>
      <c r="B24" s="8">
        <v>51</v>
      </c>
      <c r="C24" t="s">
        <v>4</v>
      </c>
      <c r="D24" s="1">
        <v>41816</v>
      </c>
      <c r="E24" t="s">
        <v>5</v>
      </c>
      <c r="F24" t="s">
        <v>76</v>
      </c>
      <c r="G24" s="10"/>
      <c r="H24" s="5" t="s">
        <v>65</v>
      </c>
      <c r="I24" s="5" t="s">
        <v>65</v>
      </c>
    </row>
    <row r="25" spans="1:11" x14ac:dyDescent="0.25">
      <c r="A25">
        <v>24</v>
      </c>
      <c r="B25" s="8">
        <v>52</v>
      </c>
      <c r="C25" t="s">
        <v>44</v>
      </c>
      <c r="D25" s="1">
        <v>41848</v>
      </c>
      <c r="E25" t="s">
        <v>45</v>
      </c>
      <c r="F25" t="s">
        <v>72</v>
      </c>
      <c r="G25" s="10" t="s">
        <v>74</v>
      </c>
      <c r="H25" s="5" t="s">
        <v>65</v>
      </c>
      <c r="I25" s="5" t="s">
        <v>65</v>
      </c>
    </row>
    <row r="26" spans="1:11" x14ac:dyDescent="0.25">
      <c r="A26">
        <v>25</v>
      </c>
      <c r="B26" s="8">
        <v>54</v>
      </c>
      <c r="C26" t="s">
        <v>26</v>
      </c>
      <c r="D26" s="1">
        <v>41896</v>
      </c>
      <c r="E26" t="s">
        <v>27</v>
      </c>
      <c r="F26" t="s">
        <v>76</v>
      </c>
      <c r="G26" s="10"/>
      <c r="H26" s="5" t="s">
        <v>65</v>
      </c>
      <c r="I26" s="5" t="s">
        <v>65</v>
      </c>
    </row>
    <row r="27" spans="1:11" x14ac:dyDescent="0.25">
      <c r="A27">
        <v>26</v>
      </c>
      <c r="B27" s="8">
        <v>58</v>
      </c>
      <c r="C27" t="s">
        <v>46</v>
      </c>
      <c r="D27" s="1">
        <v>42722</v>
      </c>
      <c r="E27" t="s">
        <v>47</v>
      </c>
      <c r="F27" t="s">
        <v>72</v>
      </c>
      <c r="G27" s="10" t="s">
        <v>75</v>
      </c>
      <c r="H27" s="5" t="s">
        <v>65</v>
      </c>
      <c r="I27" s="5" t="s">
        <v>65</v>
      </c>
    </row>
    <row r="28" spans="1:11" x14ac:dyDescent="0.25">
      <c r="A28">
        <v>27</v>
      </c>
      <c r="B28" s="8">
        <v>60</v>
      </c>
      <c r="C28" t="s">
        <v>32</v>
      </c>
      <c r="D28" s="1">
        <v>42848</v>
      </c>
      <c r="E28" t="s">
        <v>33</v>
      </c>
      <c r="F28" t="s">
        <v>76</v>
      </c>
      <c r="G28" s="10"/>
      <c r="H28" s="5" t="s">
        <v>65</v>
      </c>
      <c r="I28" s="5" t="s">
        <v>65</v>
      </c>
    </row>
    <row r="29" spans="1:11" x14ac:dyDescent="0.25">
      <c r="A29">
        <v>28</v>
      </c>
      <c r="B29" s="8">
        <v>62</v>
      </c>
      <c r="C29" t="s">
        <v>38</v>
      </c>
      <c r="D29" s="1">
        <v>42976</v>
      </c>
      <c r="E29" t="s">
        <v>39</v>
      </c>
      <c r="F29" t="s">
        <v>76</v>
      </c>
      <c r="G29" s="10"/>
      <c r="H29" s="5" t="s">
        <v>65</v>
      </c>
      <c r="I29" s="5" t="s">
        <v>65</v>
      </c>
    </row>
    <row r="30" spans="1:11" x14ac:dyDescent="0.25">
      <c r="A30">
        <v>29</v>
      </c>
      <c r="B30" s="8">
        <v>63</v>
      </c>
      <c r="C30" t="s">
        <v>40</v>
      </c>
      <c r="D30" s="1">
        <v>42976</v>
      </c>
      <c r="E30" t="s">
        <v>41</v>
      </c>
      <c r="F30" t="s">
        <v>77</v>
      </c>
      <c r="G30" s="10"/>
      <c r="H30" s="5" t="s">
        <v>65</v>
      </c>
      <c r="I30" s="5" t="s">
        <v>65</v>
      </c>
    </row>
    <row r="31" spans="1:11" x14ac:dyDescent="0.25">
      <c r="A31">
        <v>30</v>
      </c>
      <c r="B31" s="8">
        <v>65</v>
      </c>
      <c r="C31" t="s">
        <v>8</v>
      </c>
      <c r="D31" s="1">
        <v>43088</v>
      </c>
      <c r="E31" t="s">
        <v>9</v>
      </c>
      <c r="F31" t="s">
        <v>76</v>
      </c>
      <c r="G31" s="10"/>
      <c r="H31" s="5" t="s">
        <v>65</v>
      </c>
      <c r="I31" s="5" t="s">
        <v>65</v>
      </c>
    </row>
    <row r="32" spans="1:11" x14ac:dyDescent="0.25">
      <c r="A32">
        <v>31</v>
      </c>
      <c r="B32" s="8">
        <v>70</v>
      </c>
      <c r="C32" t="s">
        <v>48</v>
      </c>
      <c r="D32" s="1">
        <v>43501</v>
      </c>
      <c r="E32" t="s">
        <v>49</v>
      </c>
      <c r="F32" t="s">
        <v>76</v>
      </c>
      <c r="G32" s="10"/>
      <c r="H32" s="5" t="s">
        <v>65</v>
      </c>
      <c r="I32" s="5" t="s">
        <v>65</v>
      </c>
    </row>
    <row r="33" spans="1:9" x14ac:dyDescent="0.25">
      <c r="A33">
        <v>32</v>
      </c>
      <c r="B33" s="8">
        <v>72</v>
      </c>
      <c r="C33" t="s">
        <v>50</v>
      </c>
      <c r="D33" s="1">
        <v>43501</v>
      </c>
      <c r="E33" t="s">
        <v>51</v>
      </c>
      <c r="F33" t="s">
        <v>76</v>
      </c>
      <c r="G33" s="10"/>
      <c r="H33" s="5" t="s">
        <v>65</v>
      </c>
      <c r="I33" s="5" t="s">
        <v>65</v>
      </c>
    </row>
    <row r="34" spans="1:9" x14ac:dyDescent="0.25">
      <c r="A34" s="11">
        <v>33</v>
      </c>
      <c r="B34" s="12">
        <v>76</v>
      </c>
      <c r="C34" t="s">
        <v>52</v>
      </c>
      <c r="D34" s="1">
        <v>43706</v>
      </c>
      <c r="E34" t="s">
        <v>53</v>
      </c>
      <c r="F34" t="s">
        <v>77</v>
      </c>
      <c r="G34" s="10"/>
      <c r="H34" s="6" t="s">
        <v>68</v>
      </c>
      <c r="I34" s="6" t="s">
        <v>68</v>
      </c>
    </row>
    <row r="35" spans="1:9" x14ac:dyDescent="0.25">
      <c r="A35">
        <v>34</v>
      </c>
      <c r="B35" s="8">
        <v>78</v>
      </c>
      <c r="C35" t="s">
        <v>54</v>
      </c>
      <c r="D35" s="1">
        <v>43722</v>
      </c>
      <c r="E35" t="s">
        <v>55</v>
      </c>
      <c r="F35" t="s">
        <v>77</v>
      </c>
      <c r="G35" s="10"/>
      <c r="H35" s="6" t="s">
        <v>68</v>
      </c>
      <c r="I35" s="6" t="s">
        <v>68</v>
      </c>
    </row>
    <row r="36" spans="1:9" x14ac:dyDescent="0.25">
      <c r="A36">
        <v>35</v>
      </c>
      <c r="B36" s="8">
        <v>80</v>
      </c>
      <c r="C36" t="s">
        <v>56</v>
      </c>
      <c r="D36" s="1">
        <v>43770</v>
      </c>
      <c r="E36" t="s">
        <v>57</v>
      </c>
      <c r="F36" t="s">
        <v>72</v>
      </c>
      <c r="G36" s="10" t="s">
        <v>75</v>
      </c>
      <c r="H36" s="6" t="s">
        <v>68</v>
      </c>
      <c r="I36" s="6" t="s">
        <v>68</v>
      </c>
    </row>
    <row r="37" spans="1:9" x14ac:dyDescent="0.25">
      <c r="A37">
        <v>36</v>
      </c>
      <c r="B37" s="8">
        <v>82</v>
      </c>
      <c r="C37" t="s">
        <v>58</v>
      </c>
      <c r="D37" s="1">
        <v>43866</v>
      </c>
      <c r="E37" t="s">
        <v>59</v>
      </c>
      <c r="F37" t="s">
        <v>72</v>
      </c>
      <c r="G37" s="10" t="s">
        <v>75</v>
      </c>
      <c r="H37" s="6" t="s">
        <v>68</v>
      </c>
      <c r="I37" s="6" t="s">
        <v>68</v>
      </c>
    </row>
    <row r="38" spans="1:9" x14ac:dyDescent="0.25">
      <c r="A38" s="18">
        <v>37</v>
      </c>
      <c r="B38" s="18">
        <v>83</v>
      </c>
      <c r="C38" s="18" t="s">
        <v>6</v>
      </c>
      <c r="D38" s="19">
        <v>43911</v>
      </c>
      <c r="E38" s="18" t="s">
        <v>7</v>
      </c>
      <c r="F38" s="18" t="s">
        <v>72</v>
      </c>
      <c r="G38" s="20" t="s">
        <v>75</v>
      </c>
      <c r="H38" s="21" t="s">
        <v>68</v>
      </c>
      <c r="I38" s="21" t="s">
        <v>68</v>
      </c>
    </row>
    <row r="39" spans="1:9" x14ac:dyDescent="0.25">
      <c r="A39">
        <v>38</v>
      </c>
      <c r="B39" s="8">
        <v>84</v>
      </c>
      <c r="C39" t="s">
        <v>60</v>
      </c>
      <c r="D39" s="1">
        <v>44071</v>
      </c>
      <c r="E39" t="s">
        <v>61</v>
      </c>
      <c r="F39" t="s">
        <v>72</v>
      </c>
      <c r="G39" s="10" t="s">
        <v>75</v>
      </c>
      <c r="H39" s="6" t="s">
        <v>68</v>
      </c>
      <c r="I39" s="6" t="s">
        <v>68</v>
      </c>
    </row>
    <row r="40" spans="1:9" x14ac:dyDescent="0.25">
      <c r="A40">
        <v>39</v>
      </c>
      <c r="B40" s="8">
        <v>85</v>
      </c>
      <c r="C40" t="s">
        <v>20</v>
      </c>
      <c r="D40" s="1">
        <v>44087</v>
      </c>
      <c r="E40" t="s">
        <v>21</v>
      </c>
      <c r="F40" t="s">
        <v>72</v>
      </c>
      <c r="G40" s="10" t="s">
        <v>75</v>
      </c>
      <c r="H40" s="6" t="s">
        <v>68</v>
      </c>
      <c r="I40" s="6" t="s">
        <v>68</v>
      </c>
    </row>
    <row r="41" spans="1:9" x14ac:dyDescent="0.25">
      <c r="A41">
        <v>40</v>
      </c>
      <c r="B41" s="8">
        <v>86</v>
      </c>
      <c r="C41" t="s">
        <v>62</v>
      </c>
      <c r="D41" s="1">
        <v>44245</v>
      </c>
      <c r="E41" t="s">
        <v>63</v>
      </c>
      <c r="F41" t="s">
        <v>72</v>
      </c>
      <c r="G41" s="10" t="s">
        <v>75</v>
      </c>
      <c r="H41" s="6" t="s">
        <v>68</v>
      </c>
      <c r="I41" s="6" t="s">
        <v>68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6462-03F8-4E1C-9910-3009F99B085B}">
  <dimension ref="C1:H41"/>
  <sheetViews>
    <sheetView tabSelected="1" workbookViewId="0">
      <selection activeCell="C1" sqref="C1:H41"/>
    </sheetView>
  </sheetViews>
  <sheetFormatPr baseColWidth="10" defaultRowHeight="15" x14ac:dyDescent="0.25"/>
  <cols>
    <col min="6" max="6" width="22.28515625" bestFit="1" customWidth="1"/>
  </cols>
  <sheetData>
    <row r="1" spans="3:8" x14ac:dyDescent="0.25">
      <c r="C1" s="28" t="s">
        <v>84</v>
      </c>
      <c r="D1" s="28" t="s">
        <v>85</v>
      </c>
      <c r="E1" s="29" t="s">
        <v>86</v>
      </c>
      <c r="F1" s="29" t="s">
        <v>87</v>
      </c>
      <c r="G1" s="29" t="s">
        <v>88</v>
      </c>
      <c r="H1" s="29" t="s">
        <v>89</v>
      </c>
    </row>
    <row r="2" spans="3:8" x14ac:dyDescent="0.25">
      <c r="C2" s="25">
        <v>1</v>
      </c>
      <c r="D2" s="35" t="s">
        <v>4</v>
      </c>
      <c r="E2" s="26">
        <v>38211</v>
      </c>
      <c r="F2" s="25" t="s">
        <v>5</v>
      </c>
      <c r="G2" s="27" t="s">
        <v>72</v>
      </c>
      <c r="H2" s="27" t="s">
        <v>74</v>
      </c>
    </row>
    <row r="3" spans="3:8" x14ac:dyDescent="0.25">
      <c r="C3" s="25">
        <v>2</v>
      </c>
      <c r="D3" s="35" t="s">
        <v>6</v>
      </c>
      <c r="E3" s="26">
        <v>38449</v>
      </c>
      <c r="F3" s="25" t="s">
        <v>7</v>
      </c>
      <c r="G3" s="27" t="s">
        <v>72</v>
      </c>
      <c r="H3" s="27" t="s">
        <v>75</v>
      </c>
    </row>
    <row r="4" spans="3:8" x14ac:dyDescent="0.25">
      <c r="C4" s="25">
        <v>3</v>
      </c>
      <c r="D4" s="35" t="s">
        <v>8</v>
      </c>
      <c r="E4" s="26">
        <v>38737</v>
      </c>
      <c r="F4" s="25" t="s">
        <v>9</v>
      </c>
      <c r="G4" s="27" t="s">
        <v>72</v>
      </c>
      <c r="H4" s="27" t="s">
        <v>75</v>
      </c>
    </row>
    <row r="5" spans="3:8" x14ac:dyDescent="0.25">
      <c r="C5" s="25">
        <v>4</v>
      </c>
      <c r="D5" s="35" t="s">
        <v>10</v>
      </c>
      <c r="E5" s="26">
        <v>38814</v>
      </c>
      <c r="F5" s="25" t="s">
        <v>11</v>
      </c>
      <c r="G5" s="27" t="s">
        <v>72</v>
      </c>
      <c r="H5" s="27" t="s">
        <v>75</v>
      </c>
    </row>
    <row r="6" spans="3:8" x14ac:dyDescent="0.25">
      <c r="C6" s="25">
        <v>5</v>
      </c>
      <c r="D6" s="35" t="s">
        <v>12</v>
      </c>
      <c r="E6" s="26">
        <v>38910</v>
      </c>
      <c r="F6" s="25" t="s">
        <v>13</v>
      </c>
      <c r="G6" s="27" t="s">
        <v>72</v>
      </c>
      <c r="H6" s="27" t="s">
        <v>75</v>
      </c>
    </row>
    <row r="7" spans="3:8" x14ac:dyDescent="0.25">
      <c r="C7" s="25">
        <v>6</v>
      </c>
      <c r="D7" s="35" t="s">
        <v>14</v>
      </c>
      <c r="E7" s="26">
        <v>38926</v>
      </c>
      <c r="F7" s="25" t="s">
        <v>15</v>
      </c>
      <c r="G7" s="27" t="s">
        <v>76</v>
      </c>
      <c r="H7" s="27"/>
    </row>
    <row r="8" spans="3:8" x14ac:dyDescent="0.25">
      <c r="C8" s="25">
        <v>7</v>
      </c>
      <c r="D8" s="35" t="s">
        <v>16</v>
      </c>
      <c r="E8" s="26">
        <v>38942</v>
      </c>
      <c r="F8" s="25" t="s">
        <v>17</v>
      </c>
      <c r="G8" s="27" t="s">
        <v>76</v>
      </c>
      <c r="H8" s="27"/>
    </row>
    <row r="9" spans="3:8" x14ac:dyDescent="0.25">
      <c r="C9" s="25">
        <v>8</v>
      </c>
      <c r="D9" s="35" t="s">
        <v>18</v>
      </c>
      <c r="E9" s="26">
        <v>39371</v>
      </c>
      <c r="F9" s="25" t="s">
        <v>19</v>
      </c>
      <c r="G9" s="27" t="s">
        <v>72</v>
      </c>
      <c r="H9" s="27" t="s">
        <v>74</v>
      </c>
    </row>
    <row r="10" spans="3:8" x14ac:dyDescent="0.25">
      <c r="C10" s="25">
        <v>9</v>
      </c>
      <c r="D10" s="35" t="s">
        <v>20</v>
      </c>
      <c r="E10" s="26">
        <v>40022</v>
      </c>
      <c r="F10" s="25" t="s">
        <v>21</v>
      </c>
      <c r="G10" s="27" t="s">
        <v>72</v>
      </c>
      <c r="H10" s="27" t="s">
        <v>75</v>
      </c>
    </row>
    <row r="11" spans="3:8" x14ac:dyDescent="0.25">
      <c r="C11" s="25">
        <v>10</v>
      </c>
      <c r="D11" s="35" t="s">
        <v>22</v>
      </c>
      <c r="E11" s="26">
        <v>40054</v>
      </c>
      <c r="F11" s="25" t="s">
        <v>23</v>
      </c>
      <c r="G11" s="27" t="s">
        <v>72</v>
      </c>
      <c r="H11" s="27" t="s">
        <v>75</v>
      </c>
    </row>
    <row r="12" spans="3:8" x14ac:dyDescent="0.25">
      <c r="C12" s="25">
        <v>11</v>
      </c>
      <c r="D12" s="35" t="s">
        <v>24</v>
      </c>
      <c r="E12" s="26">
        <v>40134</v>
      </c>
      <c r="F12" s="25" t="s">
        <v>25</v>
      </c>
      <c r="G12" s="27" t="s">
        <v>72</v>
      </c>
      <c r="H12" s="27" t="s">
        <v>75</v>
      </c>
    </row>
    <row r="13" spans="3:8" x14ac:dyDescent="0.25">
      <c r="C13" s="25">
        <v>12</v>
      </c>
      <c r="D13" s="35" t="s">
        <v>4</v>
      </c>
      <c r="E13" s="26">
        <v>40355</v>
      </c>
      <c r="F13" s="25" t="s">
        <v>5</v>
      </c>
      <c r="G13" s="27" t="s">
        <v>72</v>
      </c>
      <c r="H13" s="27" t="s">
        <v>75</v>
      </c>
    </row>
    <row r="14" spans="3:8" x14ac:dyDescent="0.25">
      <c r="C14" s="25">
        <v>13</v>
      </c>
      <c r="D14" s="35" t="s">
        <v>26</v>
      </c>
      <c r="E14" s="26">
        <v>40451</v>
      </c>
      <c r="F14" s="25" t="s">
        <v>27</v>
      </c>
      <c r="G14" s="27" t="s">
        <v>72</v>
      </c>
      <c r="H14" s="27" t="s">
        <v>74</v>
      </c>
    </row>
    <row r="15" spans="3:8" x14ac:dyDescent="0.25">
      <c r="C15" s="25">
        <v>14</v>
      </c>
      <c r="D15" s="35" t="s">
        <v>28</v>
      </c>
      <c r="E15" s="26">
        <v>40973</v>
      </c>
      <c r="F15" s="25" t="s">
        <v>29</v>
      </c>
      <c r="G15" s="27" t="s">
        <v>72</v>
      </c>
      <c r="H15" s="27" t="s">
        <v>74</v>
      </c>
    </row>
    <row r="16" spans="3:8" x14ac:dyDescent="0.25">
      <c r="C16" s="25">
        <v>15</v>
      </c>
      <c r="D16" s="35" t="s">
        <v>30</v>
      </c>
      <c r="E16" s="26">
        <v>41181</v>
      </c>
      <c r="F16" s="25" t="s">
        <v>31</v>
      </c>
      <c r="G16" s="27" t="s">
        <v>76</v>
      </c>
      <c r="H16" s="25"/>
    </row>
    <row r="17" spans="3:8" x14ac:dyDescent="0.25">
      <c r="C17" s="25">
        <v>16</v>
      </c>
      <c r="D17" s="35" t="s">
        <v>32</v>
      </c>
      <c r="E17" s="26">
        <v>41229</v>
      </c>
      <c r="F17" s="25" t="s">
        <v>33</v>
      </c>
      <c r="G17" s="27" t="s">
        <v>77</v>
      </c>
      <c r="H17" s="25"/>
    </row>
    <row r="18" spans="3:8" x14ac:dyDescent="0.25">
      <c r="C18" s="25">
        <v>17</v>
      </c>
      <c r="D18" s="35" t="s">
        <v>34</v>
      </c>
      <c r="E18" s="26">
        <v>41229</v>
      </c>
      <c r="F18" s="25" t="s">
        <v>35</v>
      </c>
      <c r="G18" s="27" t="s">
        <v>72</v>
      </c>
      <c r="H18" s="27" t="s">
        <v>75</v>
      </c>
    </row>
    <row r="19" spans="3:8" x14ac:dyDescent="0.25">
      <c r="C19" s="25">
        <v>18</v>
      </c>
      <c r="D19" s="35" t="s">
        <v>36</v>
      </c>
      <c r="E19" s="26">
        <v>41499</v>
      </c>
      <c r="F19" s="25" t="s">
        <v>37</v>
      </c>
      <c r="G19" s="27" t="s">
        <v>72</v>
      </c>
      <c r="H19" s="27" t="s">
        <v>75</v>
      </c>
    </row>
    <row r="20" spans="3:8" x14ac:dyDescent="0.25">
      <c r="C20" s="25">
        <v>19</v>
      </c>
      <c r="D20" s="35" t="s">
        <v>38</v>
      </c>
      <c r="E20" s="26">
        <v>41531</v>
      </c>
      <c r="F20" s="25" t="s">
        <v>39</v>
      </c>
      <c r="G20" s="27" t="s">
        <v>72</v>
      </c>
      <c r="H20" s="30" t="s">
        <v>74</v>
      </c>
    </row>
    <row r="21" spans="3:8" x14ac:dyDescent="0.25">
      <c r="C21" s="25">
        <v>20</v>
      </c>
      <c r="D21" s="35" t="s">
        <v>40</v>
      </c>
      <c r="E21" s="26">
        <v>41531</v>
      </c>
      <c r="F21" s="25" t="s">
        <v>41</v>
      </c>
      <c r="G21" s="27" t="s">
        <v>72</v>
      </c>
      <c r="H21" s="30" t="s">
        <v>75</v>
      </c>
    </row>
    <row r="22" spans="3:8" x14ac:dyDescent="0.25">
      <c r="C22" s="25">
        <v>21</v>
      </c>
      <c r="D22" s="35" t="s">
        <v>42</v>
      </c>
      <c r="E22" s="26">
        <v>41720</v>
      </c>
      <c r="F22" s="25" t="s">
        <v>43</v>
      </c>
      <c r="G22" s="27" t="s">
        <v>76</v>
      </c>
      <c r="H22" s="30"/>
    </row>
    <row r="23" spans="3:8" x14ac:dyDescent="0.25">
      <c r="C23" s="25">
        <v>22</v>
      </c>
      <c r="D23" s="35" t="s">
        <v>16</v>
      </c>
      <c r="E23" s="26">
        <v>41720</v>
      </c>
      <c r="F23" s="25" t="s">
        <v>17</v>
      </c>
      <c r="G23" s="27" t="s">
        <v>76</v>
      </c>
      <c r="H23" s="30"/>
    </row>
    <row r="24" spans="3:8" x14ac:dyDescent="0.25">
      <c r="C24" s="25">
        <v>23</v>
      </c>
      <c r="D24" s="35" t="s">
        <v>4</v>
      </c>
      <c r="E24" s="26">
        <v>41816</v>
      </c>
      <c r="F24" s="25" t="s">
        <v>5</v>
      </c>
      <c r="G24" s="27" t="s">
        <v>76</v>
      </c>
      <c r="H24" s="30"/>
    </row>
    <row r="25" spans="3:8" x14ac:dyDescent="0.25">
      <c r="C25" s="25">
        <v>24</v>
      </c>
      <c r="D25" s="35" t="s">
        <v>44</v>
      </c>
      <c r="E25" s="26">
        <v>41848</v>
      </c>
      <c r="F25" s="25" t="s">
        <v>45</v>
      </c>
      <c r="G25" s="27" t="s">
        <v>72</v>
      </c>
      <c r="H25" s="30" t="s">
        <v>74</v>
      </c>
    </row>
    <row r="26" spans="3:8" x14ac:dyDescent="0.25">
      <c r="C26" s="25">
        <v>25</v>
      </c>
      <c r="D26" s="35" t="s">
        <v>26</v>
      </c>
      <c r="E26" s="26">
        <v>41896</v>
      </c>
      <c r="F26" s="25" t="s">
        <v>27</v>
      </c>
      <c r="G26" s="27" t="s">
        <v>76</v>
      </c>
      <c r="H26" s="30"/>
    </row>
    <row r="27" spans="3:8" x14ac:dyDescent="0.25">
      <c r="C27" s="25">
        <v>26</v>
      </c>
      <c r="D27" s="35" t="s">
        <v>46</v>
      </c>
      <c r="E27" s="26">
        <v>42722</v>
      </c>
      <c r="F27" s="25" t="s">
        <v>47</v>
      </c>
      <c r="G27" s="27" t="s">
        <v>72</v>
      </c>
      <c r="H27" s="30" t="s">
        <v>75</v>
      </c>
    </row>
    <row r="28" spans="3:8" x14ac:dyDescent="0.25">
      <c r="C28" s="25">
        <v>27</v>
      </c>
      <c r="D28" s="35" t="s">
        <v>32</v>
      </c>
      <c r="E28" s="26">
        <v>42848</v>
      </c>
      <c r="F28" s="25" t="s">
        <v>33</v>
      </c>
      <c r="G28" s="27" t="s">
        <v>76</v>
      </c>
      <c r="H28" s="30"/>
    </row>
    <row r="29" spans="3:8" x14ac:dyDescent="0.25">
      <c r="C29" s="25">
        <v>28</v>
      </c>
      <c r="D29" s="35" t="s">
        <v>38</v>
      </c>
      <c r="E29" s="26">
        <v>42976</v>
      </c>
      <c r="F29" s="25" t="s">
        <v>39</v>
      </c>
      <c r="G29" s="27" t="s">
        <v>76</v>
      </c>
      <c r="H29" s="30"/>
    </row>
    <row r="30" spans="3:8" x14ac:dyDescent="0.25">
      <c r="C30" s="25">
        <v>29</v>
      </c>
      <c r="D30" s="35" t="s">
        <v>40</v>
      </c>
      <c r="E30" s="26">
        <v>42976</v>
      </c>
      <c r="F30" s="25" t="s">
        <v>41</v>
      </c>
      <c r="G30" s="27" t="s">
        <v>77</v>
      </c>
      <c r="H30" s="30"/>
    </row>
    <row r="31" spans="3:8" x14ac:dyDescent="0.25">
      <c r="C31" s="25">
        <v>30</v>
      </c>
      <c r="D31" s="35" t="s">
        <v>8</v>
      </c>
      <c r="E31" s="26">
        <v>43088</v>
      </c>
      <c r="F31" s="25" t="s">
        <v>9</v>
      </c>
      <c r="G31" s="27" t="s">
        <v>76</v>
      </c>
      <c r="H31" s="30"/>
    </row>
    <row r="32" spans="3:8" x14ac:dyDescent="0.25">
      <c r="C32" s="25">
        <v>31</v>
      </c>
      <c r="D32" s="35" t="s">
        <v>48</v>
      </c>
      <c r="E32" s="26">
        <v>43501</v>
      </c>
      <c r="F32" s="25" t="s">
        <v>49</v>
      </c>
      <c r="G32" s="27" t="s">
        <v>76</v>
      </c>
      <c r="H32" s="30"/>
    </row>
    <row r="33" spans="3:8" x14ac:dyDescent="0.25">
      <c r="C33" s="25">
        <v>32</v>
      </c>
      <c r="D33" s="35" t="s">
        <v>50</v>
      </c>
      <c r="E33" s="26">
        <v>43501</v>
      </c>
      <c r="F33" s="25" t="s">
        <v>51</v>
      </c>
      <c r="G33" s="27" t="s">
        <v>76</v>
      </c>
      <c r="H33" s="30"/>
    </row>
    <row r="34" spans="3:8" x14ac:dyDescent="0.25">
      <c r="C34" s="28">
        <v>33</v>
      </c>
      <c r="D34" s="35" t="s">
        <v>52</v>
      </c>
      <c r="E34" s="26">
        <v>43706</v>
      </c>
      <c r="F34" s="25" t="s">
        <v>53</v>
      </c>
      <c r="G34" s="27" t="s">
        <v>77</v>
      </c>
      <c r="H34" s="30"/>
    </row>
    <row r="35" spans="3:8" x14ac:dyDescent="0.25">
      <c r="C35" s="25">
        <v>34</v>
      </c>
      <c r="D35" s="35" t="s">
        <v>54</v>
      </c>
      <c r="E35" s="26">
        <v>43722</v>
      </c>
      <c r="F35" s="25" t="s">
        <v>55</v>
      </c>
      <c r="G35" s="27" t="s">
        <v>77</v>
      </c>
      <c r="H35" s="30"/>
    </row>
    <row r="36" spans="3:8" x14ac:dyDescent="0.25">
      <c r="C36" s="25">
        <v>35</v>
      </c>
      <c r="D36" s="35" t="s">
        <v>56</v>
      </c>
      <c r="E36" s="26">
        <v>43770</v>
      </c>
      <c r="F36" s="25" t="s">
        <v>57</v>
      </c>
      <c r="G36" s="27" t="s">
        <v>72</v>
      </c>
      <c r="H36" s="30" t="s">
        <v>75</v>
      </c>
    </row>
    <row r="37" spans="3:8" x14ac:dyDescent="0.25">
      <c r="C37" s="25">
        <v>36</v>
      </c>
      <c r="D37" s="35" t="s">
        <v>58</v>
      </c>
      <c r="E37" s="26">
        <v>43866</v>
      </c>
      <c r="F37" s="25" t="s">
        <v>59</v>
      </c>
      <c r="G37" s="27" t="s">
        <v>72</v>
      </c>
      <c r="H37" s="30" t="s">
        <v>75</v>
      </c>
    </row>
    <row r="38" spans="3:8" x14ac:dyDescent="0.25">
      <c r="C38" s="31">
        <v>37</v>
      </c>
      <c r="D38" s="36" t="s">
        <v>6</v>
      </c>
      <c r="E38" s="32">
        <v>43911</v>
      </c>
      <c r="F38" s="31" t="s">
        <v>7</v>
      </c>
      <c r="G38" s="34" t="s">
        <v>72</v>
      </c>
      <c r="H38" s="33" t="s">
        <v>75</v>
      </c>
    </row>
    <row r="39" spans="3:8" x14ac:dyDescent="0.25">
      <c r="C39" s="25">
        <v>38</v>
      </c>
      <c r="D39" s="35" t="s">
        <v>60</v>
      </c>
      <c r="E39" s="26">
        <v>44071</v>
      </c>
      <c r="F39" s="25" t="s">
        <v>61</v>
      </c>
      <c r="G39" s="27" t="s">
        <v>72</v>
      </c>
      <c r="H39" s="30" t="s">
        <v>75</v>
      </c>
    </row>
    <row r="40" spans="3:8" x14ac:dyDescent="0.25">
      <c r="C40" s="25">
        <v>39</v>
      </c>
      <c r="D40" s="35" t="s">
        <v>20</v>
      </c>
      <c r="E40" s="26">
        <v>44087</v>
      </c>
      <c r="F40" s="25" t="s">
        <v>21</v>
      </c>
      <c r="G40" s="27" t="s">
        <v>72</v>
      </c>
      <c r="H40" s="30" t="s">
        <v>75</v>
      </c>
    </row>
    <row r="41" spans="3:8" x14ac:dyDescent="0.25">
      <c r="C41" s="25">
        <v>40</v>
      </c>
      <c r="D41" s="35" t="s">
        <v>62</v>
      </c>
      <c r="E41" s="26">
        <v>44245</v>
      </c>
      <c r="F41" s="25" t="s">
        <v>63</v>
      </c>
      <c r="G41" s="27" t="s">
        <v>72</v>
      </c>
      <c r="H41" s="30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989C-8933-4C0D-8D2C-1C5893CD4670}">
  <dimension ref="E3:G43"/>
  <sheetViews>
    <sheetView workbookViewId="0">
      <selection activeCell="G3" sqref="G3"/>
    </sheetView>
  </sheetViews>
  <sheetFormatPr baseColWidth="10" defaultRowHeight="15" x14ac:dyDescent="0.25"/>
  <sheetData>
    <row r="3" spans="5:7" x14ac:dyDescent="0.25">
      <c r="E3" t="s">
        <v>83</v>
      </c>
    </row>
    <row r="4" spans="5:7" x14ac:dyDescent="0.25">
      <c r="E4" s="1">
        <v>38163</v>
      </c>
      <c r="G4" t="s">
        <v>4</v>
      </c>
    </row>
    <row r="5" spans="5:7" x14ac:dyDescent="0.25">
      <c r="E5" s="1">
        <v>38401</v>
      </c>
      <c r="G5" t="s">
        <v>6</v>
      </c>
    </row>
    <row r="6" spans="5:7" x14ac:dyDescent="0.25">
      <c r="E6" s="1">
        <v>38689</v>
      </c>
      <c r="G6" t="s">
        <v>8</v>
      </c>
    </row>
    <row r="7" spans="5:7" x14ac:dyDescent="0.25">
      <c r="E7" s="1">
        <v>38766</v>
      </c>
      <c r="G7" t="s">
        <v>10</v>
      </c>
    </row>
    <row r="8" spans="5:7" x14ac:dyDescent="0.25">
      <c r="E8" s="1">
        <v>38862</v>
      </c>
      <c r="G8" t="s">
        <v>12</v>
      </c>
    </row>
    <row r="9" spans="5:7" x14ac:dyDescent="0.25">
      <c r="E9" s="1">
        <v>38878</v>
      </c>
      <c r="G9" t="s">
        <v>14</v>
      </c>
    </row>
    <row r="10" spans="5:7" x14ac:dyDescent="0.25">
      <c r="E10" s="1">
        <v>38894</v>
      </c>
      <c r="G10" t="s">
        <v>16</v>
      </c>
    </row>
    <row r="11" spans="5:7" x14ac:dyDescent="0.25">
      <c r="E11" s="1">
        <v>39323</v>
      </c>
      <c r="G11" t="s">
        <v>18</v>
      </c>
    </row>
    <row r="12" spans="5:7" x14ac:dyDescent="0.25">
      <c r="E12" s="1">
        <v>39974</v>
      </c>
      <c r="G12" t="s">
        <v>20</v>
      </c>
    </row>
    <row r="13" spans="5:7" x14ac:dyDescent="0.25">
      <c r="E13" s="1">
        <v>40006</v>
      </c>
      <c r="G13" t="s">
        <v>22</v>
      </c>
    </row>
    <row r="14" spans="5:7" x14ac:dyDescent="0.25">
      <c r="E14" s="1">
        <v>40086</v>
      </c>
      <c r="G14" t="s">
        <v>24</v>
      </c>
    </row>
    <row r="15" spans="5:7" x14ac:dyDescent="0.25">
      <c r="E15" s="1">
        <v>40307</v>
      </c>
      <c r="G15" t="s">
        <v>26</v>
      </c>
    </row>
    <row r="16" spans="5:7" x14ac:dyDescent="0.25">
      <c r="E16" s="1">
        <v>40403</v>
      </c>
      <c r="G16" t="s">
        <v>28</v>
      </c>
    </row>
    <row r="17" spans="5:7" x14ac:dyDescent="0.25">
      <c r="E17" s="1">
        <v>40925</v>
      </c>
      <c r="G17" t="s">
        <v>30</v>
      </c>
    </row>
    <row r="18" spans="5:7" x14ac:dyDescent="0.25">
      <c r="E18" s="1">
        <v>41133</v>
      </c>
      <c r="G18" t="s">
        <v>32</v>
      </c>
    </row>
    <row r="19" spans="5:7" x14ac:dyDescent="0.25">
      <c r="E19" s="1">
        <v>41181</v>
      </c>
      <c r="G19" t="s">
        <v>34</v>
      </c>
    </row>
    <row r="20" spans="5:7" x14ac:dyDescent="0.25">
      <c r="E20" s="1">
        <v>41181</v>
      </c>
      <c r="G20" t="s">
        <v>36</v>
      </c>
    </row>
    <row r="21" spans="5:7" x14ac:dyDescent="0.25">
      <c r="E21" s="1">
        <v>41451</v>
      </c>
      <c r="G21" t="s">
        <v>38</v>
      </c>
    </row>
    <row r="22" spans="5:7" x14ac:dyDescent="0.25">
      <c r="E22" s="1">
        <v>41483</v>
      </c>
      <c r="G22" t="s">
        <v>40</v>
      </c>
    </row>
    <row r="23" spans="5:7" x14ac:dyDescent="0.25">
      <c r="E23" s="1">
        <v>41483</v>
      </c>
      <c r="G23" t="s">
        <v>42</v>
      </c>
    </row>
    <row r="24" spans="5:7" x14ac:dyDescent="0.25">
      <c r="E24" s="1">
        <v>41672</v>
      </c>
      <c r="G24" t="s">
        <v>44</v>
      </c>
    </row>
    <row r="25" spans="5:7" x14ac:dyDescent="0.25">
      <c r="E25" s="1">
        <v>41672</v>
      </c>
      <c r="G25" t="s">
        <v>46</v>
      </c>
    </row>
    <row r="26" spans="5:7" x14ac:dyDescent="0.25">
      <c r="E26" s="1">
        <v>41768</v>
      </c>
      <c r="G26" t="s">
        <v>48</v>
      </c>
    </row>
    <row r="27" spans="5:7" x14ac:dyDescent="0.25">
      <c r="E27" s="1">
        <v>41800</v>
      </c>
      <c r="G27" t="s">
        <v>50</v>
      </c>
    </row>
    <row r="28" spans="5:7" x14ac:dyDescent="0.25">
      <c r="E28" s="1">
        <v>41848</v>
      </c>
      <c r="G28" t="s">
        <v>52</v>
      </c>
    </row>
    <row r="29" spans="5:7" x14ac:dyDescent="0.25">
      <c r="E29" s="1">
        <v>42674</v>
      </c>
      <c r="G29" t="s">
        <v>54</v>
      </c>
    </row>
    <row r="30" spans="5:7" x14ac:dyDescent="0.25">
      <c r="E30" s="1">
        <v>42800</v>
      </c>
      <c r="G30" t="s">
        <v>56</v>
      </c>
    </row>
    <row r="31" spans="5:7" x14ac:dyDescent="0.25">
      <c r="E31" s="1">
        <v>42928</v>
      </c>
      <c r="G31" t="s">
        <v>58</v>
      </c>
    </row>
    <row r="32" spans="5:7" x14ac:dyDescent="0.25">
      <c r="E32" s="1">
        <v>42928</v>
      </c>
      <c r="G32" t="s">
        <v>60</v>
      </c>
    </row>
    <row r="33" spans="5:7" x14ac:dyDescent="0.25">
      <c r="E33" s="1">
        <v>43040</v>
      </c>
      <c r="G33" t="s">
        <v>62</v>
      </c>
    </row>
    <row r="34" spans="5:7" x14ac:dyDescent="0.25">
      <c r="E34" s="1">
        <v>43453</v>
      </c>
    </row>
    <row r="35" spans="5:7" x14ac:dyDescent="0.25">
      <c r="E35" s="1">
        <v>43453</v>
      </c>
    </row>
    <row r="36" spans="5:7" x14ac:dyDescent="0.25">
      <c r="E36" s="1">
        <v>43658</v>
      </c>
    </row>
    <row r="37" spans="5:7" x14ac:dyDescent="0.25">
      <c r="E37" s="1">
        <v>43674</v>
      </c>
    </row>
    <row r="38" spans="5:7" x14ac:dyDescent="0.25">
      <c r="E38" s="1">
        <v>43722</v>
      </c>
    </row>
    <row r="39" spans="5:7" x14ac:dyDescent="0.25">
      <c r="E39" s="1">
        <v>43818</v>
      </c>
    </row>
    <row r="40" spans="5:7" x14ac:dyDescent="0.25">
      <c r="E40" s="1">
        <v>43863</v>
      </c>
    </row>
    <row r="41" spans="5:7" x14ac:dyDescent="0.25">
      <c r="E41" s="1">
        <v>44023</v>
      </c>
    </row>
    <row r="42" spans="5:7" x14ac:dyDescent="0.25">
      <c r="E42" s="1">
        <v>44039</v>
      </c>
    </row>
    <row r="43" spans="5:7" x14ac:dyDescent="0.25">
      <c r="E43" s="1">
        <v>44197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4EB2-EE93-4354-962F-47212CBC26BA}">
  <dimension ref="C3:F6"/>
  <sheetViews>
    <sheetView workbookViewId="0">
      <selection activeCell="E10" sqref="E10"/>
    </sheetView>
  </sheetViews>
  <sheetFormatPr baseColWidth="10" defaultRowHeight="15" x14ac:dyDescent="0.25"/>
  <cols>
    <col min="3" max="3" width="16.5703125" bestFit="1" customWidth="1"/>
  </cols>
  <sheetData>
    <row r="3" spans="3:6" ht="21" x14ac:dyDescent="0.35">
      <c r="C3" s="13" t="s">
        <v>82</v>
      </c>
      <c r="D3" s="14" t="s">
        <v>81</v>
      </c>
      <c r="E3" s="14"/>
      <c r="F3" s="14"/>
    </row>
    <row r="4" spans="3:6" ht="21" x14ac:dyDescent="0.35">
      <c r="C4" s="15" t="s">
        <v>72</v>
      </c>
      <c r="D4" s="15">
        <v>24</v>
      </c>
      <c r="E4" s="15">
        <v>60</v>
      </c>
      <c r="F4" s="15" t="s">
        <v>80</v>
      </c>
    </row>
    <row r="5" spans="3:6" ht="21" x14ac:dyDescent="0.35">
      <c r="C5" s="16" t="s">
        <v>76</v>
      </c>
      <c r="D5" s="16">
        <v>12</v>
      </c>
      <c r="E5" s="16">
        <v>30</v>
      </c>
      <c r="F5" s="16" t="s">
        <v>80</v>
      </c>
    </row>
    <row r="6" spans="3:6" ht="21" x14ac:dyDescent="0.35">
      <c r="C6" s="17" t="s">
        <v>77</v>
      </c>
      <c r="D6" s="17">
        <v>4</v>
      </c>
      <c r="E6" s="17">
        <v>10</v>
      </c>
      <c r="F6" s="1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PLANILLA</vt:lpstr>
      <vt:lpstr>Cuadro</vt:lpstr>
      <vt:lpstr>Hoja1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Joel Cabrera Vivas</cp:lastModifiedBy>
  <dcterms:created xsi:type="dcterms:W3CDTF">2025-04-14T14:28:04Z</dcterms:created>
  <dcterms:modified xsi:type="dcterms:W3CDTF">2025-10-11T00:19:13Z</dcterms:modified>
</cp:coreProperties>
</file>