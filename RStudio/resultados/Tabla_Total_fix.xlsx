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Estudiante\Documents\TESIS\RStudio\resultados\"/>
    </mc:Choice>
  </mc:AlternateContent>
  <xr:revisionPtr revIDLastSave="0" documentId="13_ncr:1_{ECC51E00-D4A6-4AAC-B3DD-59205B9BA3D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 1" sheetId="1" r:id="rId1"/>
    <sheet name="Parcelas_Visitar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1" l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K2" i="1"/>
</calcChain>
</file>

<file path=xl/sharedStrings.xml><?xml version="1.0" encoding="utf-8"?>
<sst xmlns="http://schemas.openxmlformats.org/spreadsheetml/2006/main" count="130" uniqueCount="68">
  <si>
    <t>parcela_ID</t>
  </si>
  <si>
    <t>date</t>
  </si>
  <si>
    <t>EVI</t>
  </si>
  <si>
    <t>longitud</t>
  </si>
  <si>
    <t>latitud</t>
  </si>
  <si>
    <t>65</t>
  </si>
  <si>
    <t>67</t>
  </si>
  <si>
    <t>75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</si>
  <si>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</si>
  <si>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</si>
  <si>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</si>
  <si>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</si>
  <si>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</si>
  <si>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</si>
  <si>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</si>
  <si>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</si>
  <si>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</si>
  <si>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</si>
  <si>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</si>
  <si>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108</t>
  </si>
  <si>
    <t>109</t>
  </si>
  <si>
    <t>112</t>
  </si>
  <si>
    <t>114</t>
  </si>
  <si>
    <t>116</t>
  </si>
  <si>
    <t>117</t>
  </si>
  <si>
    <t>118</t>
  </si>
  <si>
    <t>121</t>
  </si>
  <si>
    <t>124</t>
  </si>
  <si>
    <t>134-S</t>
  </si>
  <si>
    <t>134-N</t>
  </si>
  <si>
    <t>135-S</t>
  </si>
  <si>
    <t>135-N</t>
  </si>
  <si>
    <t>136</t>
  </si>
  <si>
    <t>137</t>
  </si>
  <si>
    <t>141</t>
  </si>
  <si>
    <t>142</t>
  </si>
  <si>
    <t>160</t>
  </si>
  <si>
    <t>161</t>
  </si>
  <si>
    <t>163</t>
  </si>
  <si>
    <t>165</t>
  </si>
  <si>
    <t>166</t>
  </si>
  <si>
    <t>168</t>
  </si>
  <si>
    <t>169</t>
  </si>
  <si>
    <t>170-S</t>
  </si>
  <si>
    <t>171-S</t>
  </si>
  <si>
    <t>171-N</t>
  </si>
  <si>
    <t>172-S</t>
  </si>
  <si>
    <t>173</t>
  </si>
  <si>
    <t>174</t>
  </si>
  <si>
    <t>188</t>
  </si>
  <si>
    <t>191</t>
  </si>
  <si>
    <t>192</t>
  </si>
  <si>
    <t>193</t>
  </si>
  <si>
    <t>195</t>
  </si>
  <si>
    <t>198</t>
  </si>
  <si>
    <t>199</t>
  </si>
  <si>
    <t>201</t>
  </si>
  <si>
    <t>203</t>
  </si>
  <si>
    <t>204</t>
  </si>
  <si>
    <t>fechas</t>
  </si>
  <si>
    <t>Parcelas Visitar A Campo</t>
  </si>
  <si>
    <t>incendio</t>
  </si>
  <si>
    <t>erosion rio</t>
  </si>
  <si>
    <t>Columna1</t>
  </si>
  <si>
    <t>parcela agricola</t>
  </si>
  <si>
    <t>constr caminos</t>
  </si>
  <si>
    <t>imp+ y año sequia?</t>
  </si>
  <si>
    <t>cambio no disting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</si>
</sst>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7" x14ac:knownFonts="1"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</font>
    <font>
      <b/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7"/>
      <name val="Calibri"/>
      <family val="2"/>
      <scheme val="minor"/>
    </font>
    <font>
      <sz val="12"/>
      <color theme="7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theme="5" tint="0.79998168889431442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theme="5" tint="0.39997558519241921"/>
      </left>
      <right/>
      <top style="thin">
        <color theme="5" tint="0.39997558519241921"/>
      </top>
      <bottom style="thin">
        <color theme="5" tint="0.39997558519241921"/>
      </bottom>
      <diagonal/>
    </border>
    <border>
      <left/>
      <right/>
      <top style="thin">
        <color theme="5" tint="0.39997558519241921"/>
      </top>
      <bottom style="thin">
        <color theme="5" tint="0.39997558519241921"/>
      </bottom>
      <diagonal/>
    </border>
    <border>
      <left/>
      <right style="thin">
        <color theme="5" tint="0.39997558519241921"/>
      </right>
      <top style="thin">
        <color theme="5" tint="0.39997558519241921"/>
      </top>
      <bottom style="thin">
        <color theme="5" tint="0.3999755851924192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164" fontId="2" fillId="0" borderId="0" xfId="0" applyNumberFormat="1" applyFont="1"/>
    <xf numFmtId="0" fontId="3" fillId="0" borderId="0" xfId="0" applyFont="1"/>
    <xf numFmtId="0" fontId="4" fillId="2" borderId="1" xfId="0" applyFont="1" applyFill="1" applyBorder="1"/>
    <xf numFmtId="0" fontId="4" fillId="0" borderId="1" xfId="0" applyFont="1" applyBorder="1"/>
    <xf numFmtId="164" fontId="0" fillId="0" borderId="0" xfId="0" applyNumberFormat="1"/>
    <xf numFmtId="0" fontId="4" fillId="0" borderId="2" xfId="0" applyFont="1" applyBorder="1"/>
    <xf numFmtId="0" fontId="4" fillId="0" borderId="3" xfId="0" applyFont="1" applyBorder="1"/>
    <xf numFmtId="0" fontId="5" fillId="0" borderId="0" xfId="0" applyFont="1"/>
    <xf numFmtId="164" fontId="6" fillId="0" borderId="0" xfId="0" applyNumberFormat="1" applyFont="1"/>
    <xf numFmtId="0" fontId="5" fillId="2" borderId="1" xfId="0" applyFont="1" applyFill="1" applyBorder="1"/>
    <xf numFmtId="164" fontId="6" fillId="2" borderId="2" xfId="0" applyNumberFormat="1" applyFont="1" applyFill="1" applyBorder="1"/>
    <xf numFmtId="0" fontId="5" fillId="2" borderId="2" xfId="0" applyFont="1" applyFill="1" applyBorder="1"/>
    <xf numFmtId="0" fontId="5" fillId="2" borderId="3" xfId="0" applyFont="1" applyFill="1" applyBorder="1"/>
    <xf numFmtId="164" fontId="6" fillId="0" borderId="2" xfId="0" applyNumberFormat="1" applyFont="1" applyBorder="1"/>
    <xf numFmtId="0" fontId="5" fillId="0" borderId="1" xfId="0" applyFont="1" applyBorder="1"/>
    <xf numFmtId="0" fontId="5" fillId="0" borderId="2" xfId="0" applyFont="1" applyBorder="1"/>
    <xf numFmtId="0" fontId="5" fillId="0" borderId="3" xfId="0" applyFont="1" applyBorder="1"/>
    <xf numFmtId="0" fontId="5" fillId="3" borderId="0" xfId="0" applyFont="1" applyFill="1"/>
    <xf numFmtId="164" fontId="6" fillId="3" borderId="0" xfId="0" applyNumberFormat="1" applyFont="1" applyFill="1"/>
    <xf numFmtId="0" fontId="1" fillId="0" borderId="0" xfId="0" applyFont="1" applyAlignment="1">
      <alignment horizontal="center"/>
    </xf>
  </cellXfs>
  <cellStyles count="1"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numFmt numFmtId="164" formatCode="yyyy\-mm\-dd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numFmt numFmtId="164" formatCode="yyyy\-mm\-dd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229897-CD5B-490F-AAC1-2039C69D4F75}" name="Tabla1" displayName="Tabla1" ref="A1:G87" totalsRowShown="0" headerRowDxfId="8" dataDxfId="7">
  <autoFilter ref="A1:G87" xr:uid="{0D229897-CD5B-490F-AAC1-2039C69D4F75}"/>
  <sortState xmlns:xlrd2="http://schemas.microsoft.com/office/spreadsheetml/2017/richdata2" ref="A2:F87">
    <sortCondition ref="B1:B87"/>
  </sortState>
  <tableColumns count="7">
    <tableColumn id="1" xr3:uid="{8BC10E31-696B-4E64-B2F8-8FB1E996F8F7}" name="parcela_ID" dataDxfId="6"/>
    <tableColumn id="2" xr3:uid="{4324D114-B350-46F6-AD4F-7C6A726720A3}" name="date" dataDxfId="5"/>
    <tableColumn id="7" xr3:uid="{727B5C3D-33C2-4754-8ADE-AB0A488C579C}" name="fechas" dataDxfId="4">
      <calculatedColumnFormula>Tabla1[[#This Row],[date]]+48</calculatedColumnFormula>
    </tableColumn>
    <tableColumn id="3" xr3:uid="{25D4B3C1-E512-40BC-B318-F5DADDB6108D}" name="EVI" dataDxfId="3"/>
    <tableColumn id="4" xr3:uid="{48A06BBD-052A-4C5A-9272-B1AB7F719EF8}" name="longitud" dataDxfId="2"/>
    <tableColumn id="5" xr3:uid="{CC6838E8-53D7-4A22-BD7F-B69C00C2C4E2}" name="latitud" dataDxfId="1"/>
    <tableColumn id="6" xr3:uid="{DEB96CD3-A946-42AB-8275-3A24F8416D9A}" name="Columna1" dataDxfId="0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7"/>
  <sheetViews>
    <sheetView tabSelected="1" topLeftCell="A67" workbookViewId="0">
      <selection activeCell="G74" sqref="G74"/>
    </sheetView>
  </sheetViews>
  <sheetFormatPr baseColWidth="10" defaultRowHeight="15" x14ac:dyDescent="0.25"/>
  <cols>
    <col min="1" max="1" width="13.42578125" customWidth="1"/>
    <col min="2" max="2" width="23.5703125" hidden="1" customWidth="1"/>
    <col min="3" max="3" width="13.5703125" customWidth="1"/>
    <col min="5" max="5" width="11.42578125" customWidth="1"/>
    <col min="7" max="7" width="19" bestFit="1" customWidth="1"/>
  </cols>
  <sheetData>
    <row r="1" spans="1:11" ht="15.75" x14ac:dyDescent="0.25">
      <c r="A1" s="3" t="s">
        <v>0</v>
      </c>
      <c r="B1" s="3" t="s">
        <v>1</v>
      </c>
      <c r="C1" s="3" t="s">
        <v>59</v>
      </c>
      <c r="D1" s="3" t="s">
        <v>2</v>
      </c>
      <c r="E1" s="3" t="s">
        <v>3</v>
      </c>
      <c r="F1" s="3" t="s">
        <v>4</v>
      </c>
      <c r="G1" s="3" t="s">
        <v>63</v>
      </c>
    </row>
    <row r="2" spans="1:11" ht="15.75" x14ac:dyDescent="0.25">
      <c r="A2" s="1" t="s">
        <v>13</v>
      </c>
      <c r="B2" s="2">
        <v>38163</v>
      </c>
      <c r="C2" s="2">
        <f>Tabla1[[#This Row],[date]]+48</f>
        <v>38211</v>
      </c>
      <c r="D2" s="1">
        <v>0.28899999999999998</v>
      </c>
      <c r="E2" s="1">
        <v>-64.104020654099998</v>
      </c>
      <c r="F2" s="1">
        <v>-22.993019822899999</v>
      </c>
      <c r="G2" s="1"/>
      <c r="H2" s="4" t="s">
        <v>21</v>
      </c>
      <c r="K2" s="6">
        <f>Tabla1[[#This Row],[date]]+2</f>
        <v>38165</v>
      </c>
    </row>
    <row r="3" spans="1:11" ht="15.75" x14ac:dyDescent="0.25">
      <c r="A3" s="1" t="s">
        <v>16</v>
      </c>
      <c r="B3" s="2">
        <v>38369</v>
      </c>
      <c r="C3" s="2">
        <f>Tabla1[[#This Row],[date]]+48</f>
        <v>38417</v>
      </c>
      <c r="D3" s="1">
        <v>0.65369999999999995</v>
      </c>
      <c r="E3" s="1">
        <v>-64.100598066000003</v>
      </c>
      <c r="F3" s="1">
        <v>-23.100187570300001</v>
      </c>
      <c r="G3" s="1"/>
      <c r="H3" s="5" t="s">
        <v>14</v>
      </c>
    </row>
    <row r="4" spans="1:11" ht="15.75" x14ac:dyDescent="0.25">
      <c r="A4" s="1" t="s">
        <v>45</v>
      </c>
      <c r="B4" s="2">
        <v>38385</v>
      </c>
      <c r="C4" s="2">
        <f>Tabla1[[#This Row],[date]]+48</f>
        <v>38433</v>
      </c>
      <c r="D4" s="1">
        <v>0.56740000000000002</v>
      </c>
      <c r="E4" s="1">
        <v>-63.9931430611</v>
      </c>
      <c r="F4" s="1">
        <v>-22.923752937900002</v>
      </c>
      <c r="G4" s="1"/>
      <c r="H4" s="4" t="s">
        <v>40</v>
      </c>
    </row>
    <row r="5" spans="1:11" ht="15.75" x14ac:dyDescent="0.25">
      <c r="A5" s="1" t="s">
        <v>47</v>
      </c>
      <c r="B5" s="2">
        <v>38385</v>
      </c>
      <c r="C5" s="2">
        <f>Tabla1[[#This Row],[date]]+48</f>
        <v>38433</v>
      </c>
      <c r="D5" s="1">
        <v>0.59150000000000003</v>
      </c>
      <c r="E5" s="1">
        <v>-63.991003943599999</v>
      </c>
      <c r="F5" s="1">
        <v>-22.9897378332</v>
      </c>
      <c r="G5" s="1"/>
      <c r="H5" s="5" t="s">
        <v>53</v>
      </c>
    </row>
    <row r="6" spans="1:11" ht="15.75" x14ac:dyDescent="0.25">
      <c r="A6" s="1" t="s">
        <v>40</v>
      </c>
      <c r="B6" s="2">
        <v>38401</v>
      </c>
      <c r="C6" s="2">
        <f>Tabla1[[#This Row],[date]]+48</f>
        <v>38449</v>
      </c>
      <c r="D6" s="1">
        <v>0.5786</v>
      </c>
      <c r="E6" s="1">
        <v>-63.999916933400002</v>
      </c>
      <c r="F6" s="1">
        <v>-22.736456957800002</v>
      </c>
      <c r="G6" s="1"/>
      <c r="H6" s="4" t="s">
        <v>26</v>
      </c>
    </row>
    <row r="7" spans="1:11" ht="15.75" x14ac:dyDescent="0.25">
      <c r="A7" s="1" t="s">
        <v>57</v>
      </c>
      <c r="B7" s="2">
        <v>38433</v>
      </c>
      <c r="C7" s="2">
        <f>Tabla1[[#This Row],[date]]+48</f>
        <v>38481</v>
      </c>
      <c r="D7" s="1">
        <v>0.57379999999999998</v>
      </c>
      <c r="E7" s="1">
        <v>-63.952499827700002</v>
      </c>
      <c r="F7" s="1">
        <v>-22.987112184000001</v>
      </c>
      <c r="G7" s="1"/>
      <c r="H7" s="5" t="s">
        <v>49</v>
      </c>
    </row>
    <row r="8" spans="1:11" ht="15.75" x14ac:dyDescent="0.25">
      <c r="A8" s="1" t="s">
        <v>43</v>
      </c>
      <c r="B8" s="2">
        <v>38449</v>
      </c>
      <c r="C8" s="2">
        <f>Tabla1[[#This Row],[date]]+48</f>
        <v>38497</v>
      </c>
      <c r="D8" s="1">
        <v>0.41789999999999999</v>
      </c>
      <c r="E8" s="1">
        <v>-63.947651161300001</v>
      </c>
      <c r="F8" s="1">
        <v>-23.1024830882</v>
      </c>
      <c r="G8" s="1"/>
      <c r="H8" s="4" t="s">
        <v>9</v>
      </c>
    </row>
    <row r="9" spans="1:11" ht="15.75" x14ac:dyDescent="0.25">
      <c r="A9" s="1" t="s">
        <v>17</v>
      </c>
      <c r="B9" s="2">
        <v>38689</v>
      </c>
      <c r="C9" s="2">
        <f>Tabla1[[#This Row],[date]]+48</f>
        <v>38737</v>
      </c>
      <c r="D9" s="1">
        <v>0.437</v>
      </c>
      <c r="E9" s="1">
        <v>-64.099932562800007</v>
      </c>
      <c r="F9" s="1">
        <v>-23.140495528799999</v>
      </c>
      <c r="G9" s="1"/>
      <c r="H9" s="5" t="s">
        <v>24</v>
      </c>
    </row>
    <row r="10" spans="1:11" ht="15.75" x14ac:dyDescent="0.25">
      <c r="A10" s="1" t="s">
        <v>12</v>
      </c>
      <c r="B10" s="2">
        <v>38734</v>
      </c>
      <c r="C10" s="2">
        <f>Tabla1[[#This Row],[date]]+48</f>
        <v>38782</v>
      </c>
      <c r="D10" s="1">
        <v>0.51319999999999999</v>
      </c>
      <c r="E10" s="1">
        <v>-64.105446732399997</v>
      </c>
      <c r="F10" s="1">
        <v>-22.959868062400002</v>
      </c>
      <c r="G10" s="1"/>
      <c r="H10" s="4" t="s">
        <v>10</v>
      </c>
    </row>
    <row r="11" spans="1:11" ht="15.75" x14ac:dyDescent="0.25">
      <c r="A11" s="1" t="s">
        <v>56</v>
      </c>
      <c r="B11" s="2">
        <v>38734</v>
      </c>
      <c r="C11" s="2">
        <f>Tabla1[[#This Row],[date]]+48</f>
        <v>38782</v>
      </c>
      <c r="D11" s="1">
        <v>0.40189999999999998</v>
      </c>
      <c r="E11" s="1">
        <v>-63.954638945299997</v>
      </c>
      <c r="F11" s="1">
        <v>-22.919484150300001</v>
      </c>
      <c r="G11" s="1"/>
      <c r="H11" s="5" t="s">
        <v>23</v>
      </c>
    </row>
    <row r="12" spans="1:11" ht="15.75" x14ac:dyDescent="0.25">
      <c r="A12" s="1" t="s">
        <v>27</v>
      </c>
      <c r="B12" s="2">
        <v>38766</v>
      </c>
      <c r="C12" s="2">
        <f>Tabla1[[#This Row],[date]]+48</f>
        <v>38814</v>
      </c>
      <c r="D12" s="1">
        <v>0.49220000000000003</v>
      </c>
      <c r="E12" s="1">
        <v>-64.062854525299997</v>
      </c>
      <c r="F12" s="1">
        <v>-23.1376979705</v>
      </c>
      <c r="G12" s="1"/>
      <c r="H12" s="4" t="s">
        <v>25</v>
      </c>
    </row>
    <row r="13" spans="1:11" ht="15.75" x14ac:dyDescent="0.25">
      <c r="A13" s="1" t="s">
        <v>58</v>
      </c>
      <c r="B13" s="2">
        <v>38766</v>
      </c>
      <c r="C13" s="2">
        <f>Tabla1[[#This Row],[date]]+48</f>
        <v>38814</v>
      </c>
      <c r="D13" s="1">
        <v>0.58160000000000001</v>
      </c>
      <c r="E13" s="1">
        <v>-63.950717229799999</v>
      </c>
      <c r="F13" s="1">
        <v>-23.026819672999999</v>
      </c>
      <c r="G13" s="1"/>
      <c r="H13" s="5" t="s">
        <v>35</v>
      </c>
    </row>
    <row r="14" spans="1:11" ht="15.75" x14ac:dyDescent="0.25">
      <c r="A14" s="1" t="s">
        <v>14</v>
      </c>
      <c r="B14" s="2">
        <v>38798</v>
      </c>
      <c r="C14" s="2">
        <f>Tabla1[[#This Row],[date]]+48</f>
        <v>38846</v>
      </c>
      <c r="D14" s="1">
        <v>0.33079999999999998</v>
      </c>
      <c r="E14" s="1">
        <v>-64.106516291199995</v>
      </c>
      <c r="F14" s="1">
        <v>-23.029444549600001</v>
      </c>
      <c r="G14" s="1"/>
      <c r="H14" s="4" t="s">
        <v>8</v>
      </c>
    </row>
    <row r="15" spans="1:11" ht="15.75" x14ac:dyDescent="0.25">
      <c r="A15" s="1" t="s">
        <v>46</v>
      </c>
      <c r="B15" s="2">
        <v>38846</v>
      </c>
      <c r="C15" s="2">
        <f>Tabla1[[#This Row],[date]]+48</f>
        <v>38894</v>
      </c>
      <c r="D15" s="1">
        <v>0.30259999999999998</v>
      </c>
      <c r="E15" s="1">
        <v>-63.9406396093</v>
      </c>
      <c r="F15" s="1">
        <v>-23.248545801199999</v>
      </c>
      <c r="G15" s="1"/>
      <c r="H15" s="5" t="s">
        <v>11</v>
      </c>
    </row>
    <row r="16" spans="1:11" ht="15.75" x14ac:dyDescent="0.25">
      <c r="A16" s="1" t="s">
        <v>15</v>
      </c>
      <c r="B16" s="2">
        <v>38878</v>
      </c>
      <c r="C16" s="2">
        <f>Tabla1[[#This Row],[date]]+48</f>
        <v>38926</v>
      </c>
      <c r="D16" s="1">
        <v>0.31630000000000003</v>
      </c>
      <c r="E16" s="1">
        <v>-64.1029510953</v>
      </c>
      <c r="F16" s="1">
        <v>-23.069139572499999</v>
      </c>
      <c r="G16" s="1"/>
      <c r="H16" s="4" t="s">
        <v>18</v>
      </c>
    </row>
    <row r="17" spans="1:8" ht="15.75" x14ac:dyDescent="0.25">
      <c r="A17" s="1" t="s">
        <v>48</v>
      </c>
      <c r="B17" s="2">
        <v>38894</v>
      </c>
      <c r="C17" s="2">
        <f>Tabla1[[#This Row],[date]]+48</f>
        <v>38942</v>
      </c>
      <c r="D17" s="1">
        <v>0.3382</v>
      </c>
      <c r="E17" s="1">
        <v>-63.987438747699997</v>
      </c>
      <c r="F17" s="1">
        <v>-23.025179099199999</v>
      </c>
      <c r="G17" s="1"/>
      <c r="H17" s="5" t="s">
        <v>30</v>
      </c>
    </row>
    <row r="18" spans="1:8" ht="15.75" x14ac:dyDescent="0.25">
      <c r="A18" s="1" t="s">
        <v>37</v>
      </c>
      <c r="B18" s="2">
        <v>39163</v>
      </c>
      <c r="C18" s="2">
        <f>Tabla1[[#This Row],[date]]+48</f>
        <v>39211</v>
      </c>
      <c r="D18" s="1">
        <v>0.63080000000000003</v>
      </c>
      <c r="E18" s="1">
        <v>-64.005621246800004</v>
      </c>
      <c r="F18" s="1">
        <v>-22.549891845299999</v>
      </c>
      <c r="G18" s="1"/>
      <c r="H18" s="4" t="s">
        <v>51</v>
      </c>
    </row>
    <row r="19" spans="1:8" ht="15.75" x14ac:dyDescent="0.25">
      <c r="A19" s="1" t="s">
        <v>42</v>
      </c>
      <c r="B19" s="2">
        <v>39323</v>
      </c>
      <c r="C19" s="2">
        <f>Tabla1[[#This Row],[date]]+48</f>
        <v>39371</v>
      </c>
      <c r="D19" s="1">
        <v>0.26450000000000001</v>
      </c>
      <c r="E19" s="1">
        <v>-63.9970647767</v>
      </c>
      <c r="F19" s="1">
        <v>-22.8449228932</v>
      </c>
      <c r="G19" s="1"/>
      <c r="H19" s="5" t="s">
        <v>52</v>
      </c>
    </row>
    <row r="20" spans="1:8" ht="15.75" x14ac:dyDescent="0.25">
      <c r="A20" s="1" t="s">
        <v>21</v>
      </c>
      <c r="B20" s="2">
        <v>39974</v>
      </c>
      <c r="C20" s="2">
        <f>Tabla1[[#This Row],[date]]+48</f>
        <v>40022</v>
      </c>
      <c r="D20" s="1">
        <v>0.46539999999999998</v>
      </c>
      <c r="E20" s="1">
        <v>-64.079420802300007</v>
      </c>
      <c r="F20" s="1">
        <v>-22.699295783099998</v>
      </c>
      <c r="G20" s="1"/>
      <c r="H20" s="4" t="s">
        <v>6</v>
      </c>
    </row>
    <row r="21" spans="1:8" ht="15.75" x14ac:dyDescent="0.25">
      <c r="A21" s="1" t="s">
        <v>53</v>
      </c>
      <c r="B21" s="2">
        <v>39974</v>
      </c>
      <c r="C21" s="2">
        <f>Tabla1[[#This Row],[date]]+48</f>
        <v>40022</v>
      </c>
      <c r="D21" s="1">
        <v>0.41189999999999999</v>
      </c>
      <c r="E21" s="1">
        <v>-63.959273699999997</v>
      </c>
      <c r="F21" s="1">
        <v>-22.697651250300002</v>
      </c>
      <c r="G21" s="1"/>
      <c r="H21" s="5" t="s">
        <v>5</v>
      </c>
    </row>
    <row r="22" spans="1:8" ht="15.75" x14ac:dyDescent="0.25">
      <c r="A22" s="1" t="s">
        <v>43</v>
      </c>
      <c r="B22" s="2">
        <v>40006</v>
      </c>
      <c r="C22" s="2">
        <f>Tabla1[[#This Row],[date]]+48</f>
        <v>40054</v>
      </c>
      <c r="D22" s="1">
        <v>0.4042</v>
      </c>
      <c r="E22" s="1">
        <v>-63.947651161300001</v>
      </c>
      <c r="F22" s="1">
        <v>-23.1024830882</v>
      </c>
      <c r="G22" s="1"/>
    </row>
    <row r="23" spans="1:8" ht="15.75" x14ac:dyDescent="0.25">
      <c r="A23" s="1" t="s">
        <v>55</v>
      </c>
      <c r="B23" s="2">
        <v>40086</v>
      </c>
      <c r="C23" s="2">
        <f>Tabla1[[#This Row],[date]]+48</f>
        <v>40134</v>
      </c>
      <c r="D23" s="1">
        <v>0.23630000000000001</v>
      </c>
      <c r="E23" s="1">
        <v>-63.955708504</v>
      </c>
      <c r="F23" s="1">
        <v>-22.844265783899999</v>
      </c>
      <c r="G23" s="1"/>
    </row>
    <row r="24" spans="1:8" ht="15.75" x14ac:dyDescent="0.25">
      <c r="A24" s="1" t="s">
        <v>13</v>
      </c>
      <c r="B24" s="2">
        <v>40307</v>
      </c>
      <c r="C24" s="2">
        <f>Tabla1[[#This Row],[date]]+48</f>
        <v>40355</v>
      </c>
      <c r="D24" s="1">
        <v>0.63319999999999999</v>
      </c>
      <c r="E24" s="1">
        <v>-64.104020654099998</v>
      </c>
      <c r="F24" s="1">
        <v>-22.993019822899999</v>
      </c>
      <c r="G24" s="1"/>
    </row>
    <row r="25" spans="1:8" ht="15.75" x14ac:dyDescent="0.25">
      <c r="A25" s="1" t="s">
        <v>33</v>
      </c>
      <c r="B25" s="2">
        <v>40403</v>
      </c>
      <c r="C25" s="2">
        <f>Tabla1[[#This Row],[date]]+48</f>
        <v>40451</v>
      </c>
      <c r="D25" s="1">
        <v>0.31580000000000003</v>
      </c>
      <c r="E25" s="1">
        <v>-64.042342764799997</v>
      </c>
      <c r="F25" s="1">
        <v>-22.659492548399999</v>
      </c>
      <c r="G25" s="1"/>
    </row>
    <row r="26" spans="1:8" ht="15.75" x14ac:dyDescent="0.25">
      <c r="A26" s="1" t="s">
        <v>7</v>
      </c>
      <c r="B26" s="2">
        <v>40467</v>
      </c>
      <c r="C26" s="2">
        <f>Tabla1[[#This Row],[date]]+48</f>
        <v>40515</v>
      </c>
      <c r="D26" s="1">
        <v>0.27689999999999998</v>
      </c>
      <c r="E26" s="1">
        <v>-64.138032623100003</v>
      </c>
      <c r="F26" s="1">
        <v>-23.215238629800002</v>
      </c>
      <c r="G26" s="1"/>
    </row>
    <row r="27" spans="1:8" ht="15.75" x14ac:dyDescent="0.25">
      <c r="A27" s="1" t="s">
        <v>39</v>
      </c>
      <c r="B27" s="2">
        <v>40925</v>
      </c>
      <c r="C27" s="2">
        <f>Tabla1[[#This Row],[date]]+48</f>
        <v>40973</v>
      </c>
      <c r="D27" s="1">
        <v>0.44290000000000002</v>
      </c>
      <c r="E27" s="1">
        <v>-63.999560413799998</v>
      </c>
      <c r="F27" s="1">
        <v>-22.6983090658</v>
      </c>
      <c r="G27" s="1"/>
    </row>
    <row r="28" spans="1:8" ht="15.75" x14ac:dyDescent="0.25">
      <c r="A28" s="1" t="s">
        <v>26</v>
      </c>
      <c r="B28" s="2">
        <v>40973</v>
      </c>
      <c r="C28" s="2">
        <f>Tabla1[[#This Row],[date]]+48</f>
        <v>41021</v>
      </c>
      <c r="D28" s="1">
        <v>0.77370000000000005</v>
      </c>
      <c r="E28" s="1">
        <v>-64.066229577399994</v>
      </c>
      <c r="F28" s="1">
        <v>-23.029772655599999</v>
      </c>
      <c r="G28" s="1"/>
    </row>
    <row r="29" spans="1:8" ht="15.75" x14ac:dyDescent="0.25">
      <c r="A29" s="1" t="s">
        <v>28</v>
      </c>
      <c r="B29" s="2">
        <v>41133</v>
      </c>
      <c r="C29" s="2">
        <f>Tabla1[[#This Row],[date]]+48</f>
        <v>41181</v>
      </c>
      <c r="D29" s="1">
        <v>0.26850000000000002</v>
      </c>
      <c r="E29" s="1">
        <v>-64.022876795100004</v>
      </c>
      <c r="F29" s="1">
        <v>-23.175259059999998</v>
      </c>
      <c r="G29" s="1"/>
    </row>
    <row r="30" spans="1:8" ht="15.75" x14ac:dyDescent="0.25">
      <c r="A30" s="1" t="s">
        <v>50</v>
      </c>
      <c r="B30" s="2">
        <v>41149</v>
      </c>
      <c r="C30" s="2">
        <f>Tabla1[[#This Row],[date]]+48</f>
        <v>41197</v>
      </c>
      <c r="D30" s="1">
        <v>0.35770000000000002</v>
      </c>
      <c r="E30" s="1">
        <v>-63.966404091800001</v>
      </c>
      <c r="F30" s="1">
        <v>-22.549891845299999</v>
      </c>
      <c r="G30" s="1"/>
    </row>
    <row r="31" spans="1:8" ht="15.75" x14ac:dyDescent="0.25">
      <c r="A31" s="1" t="s">
        <v>41</v>
      </c>
      <c r="B31" s="2">
        <v>41181</v>
      </c>
      <c r="C31" s="2">
        <f>Tabla1[[#This Row],[date]]+48</f>
        <v>41229</v>
      </c>
      <c r="D31" s="1">
        <v>0.26719999999999999</v>
      </c>
      <c r="E31" s="1">
        <v>-63.997777815799999</v>
      </c>
      <c r="F31" s="1">
        <v>-22.811734907400002</v>
      </c>
      <c r="G31" s="1"/>
    </row>
    <row r="32" spans="1:8" ht="15.75" x14ac:dyDescent="0.25">
      <c r="A32" s="1" t="s">
        <v>54</v>
      </c>
      <c r="B32" s="2">
        <v>41181</v>
      </c>
      <c r="C32" s="2">
        <f>Tabla1[[#This Row],[date]]+48</f>
        <v>41229</v>
      </c>
      <c r="D32" s="1">
        <v>0.26590000000000003</v>
      </c>
      <c r="E32" s="1">
        <v>-63.957847621600003</v>
      </c>
      <c r="F32" s="1">
        <v>-22.810091727700001</v>
      </c>
      <c r="G32" s="1"/>
    </row>
    <row r="33" spans="1:7" ht="15.75" x14ac:dyDescent="0.25">
      <c r="A33" s="1" t="s">
        <v>11</v>
      </c>
      <c r="B33" s="2">
        <v>41275</v>
      </c>
      <c r="C33" s="2">
        <f>Tabla1[[#This Row],[date]]+48</f>
        <v>41323</v>
      </c>
      <c r="D33" s="1">
        <v>0.56799999999999995</v>
      </c>
      <c r="E33" s="1">
        <v>-64.106872810799999</v>
      </c>
      <c r="F33" s="1">
        <v>-22.925723102199999</v>
      </c>
      <c r="G33" s="1"/>
    </row>
    <row r="34" spans="1:7" ht="15.75" x14ac:dyDescent="0.25">
      <c r="A34" s="1" t="s">
        <v>18</v>
      </c>
      <c r="B34" s="2">
        <v>41275</v>
      </c>
      <c r="C34" s="2">
        <f>Tabla1[[#This Row],[date]]+48</f>
        <v>41323</v>
      </c>
      <c r="D34" s="1">
        <v>0.58950000000000002</v>
      </c>
      <c r="E34" s="1">
        <v>-64.100598066000003</v>
      </c>
      <c r="F34" s="1">
        <v>-23.175259059999998</v>
      </c>
      <c r="G34" s="1"/>
    </row>
    <row r="35" spans="1:7" ht="15.75" x14ac:dyDescent="0.25">
      <c r="A35" s="1" t="s">
        <v>30</v>
      </c>
      <c r="B35" s="2">
        <v>41307</v>
      </c>
      <c r="C35" s="2">
        <f>Tabla1[[#This Row],[date]]+48</f>
        <v>41355</v>
      </c>
      <c r="D35" s="1">
        <v>0.49280000000000002</v>
      </c>
      <c r="E35" s="1">
        <v>-64.018836239699993</v>
      </c>
      <c r="F35" s="1">
        <v>-23.251166340600001</v>
      </c>
      <c r="G35" s="1"/>
    </row>
    <row r="36" spans="1:7" ht="15.75" x14ac:dyDescent="0.25">
      <c r="A36" s="1" t="s">
        <v>6</v>
      </c>
      <c r="B36" s="2">
        <v>41403</v>
      </c>
      <c r="C36" s="2">
        <f>Tabla1[[#This Row],[date]]+48</f>
        <v>41451</v>
      </c>
      <c r="D36" s="1">
        <v>0.43120000000000003</v>
      </c>
      <c r="E36" s="1">
        <v>-64.148585603000001</v>
      </c>
      <c r="F36" s="1">
        <v>-22.926708173600002</v>
      </c>
      <c r="G36" s="1"/>
    </row>
    <row r="37" spans="1:7" ht="15.75" x14ac:dyDescent="0.25">
      <c r="A37" s="1" t="s">
        <v>29</v>
      </c>
      <c r="B37" s="2">
        <v>41403</v>
      </c>
      <c r="C37" s="2">
        <f>Tabla1[[#This Row],[date]]+48</f>
        <v>41451</v>
      </c>
      <c r="D37" s="1">
        <v>0.53349999999999997</v>
      </c>
      <c r="E37" s="1">
        <v>-64.045551441100002</v>
      </c>
      <c r="F37" s="1">
        <v>-22.551538146599999</v>
      </c>
      <c r="G37" s="1"/>
    </row>
    <row r="38" spans="1:7" ht="15.75" x14ac:dyDescent="0.25">
      <c r="A38" s="1" t="s">
        <v>20</v>
      </c>
      <c r="B38" s="2">
        <v>41451</v>
      </c>
      <c r="C38" s="2">
        <f>Tabla1[[#This Row],[date]]+48</f>
        <v>41499</v>
      </c>
      <c r="D38" s="1">
        <v>0.57750000000000001</v>
      </c>
      <c r="E38" s="1">
        <v>-64.0815599198</v>
      </c>
      <c r="F38" s="1">
        <v>-22.589726820199999</v>
      </c>
      <c r="G38" s="1"/>
    </row>
    <row r="39" spans="1:7" ht="15.75" x14ac:dyDescent="0.25">
      <c r="A39" s="1" t="s">
        <v>36</v>
      </c>
      <c r="B39" s="2">
        <v>41467</v>
      </c>
      <c r="C39" s="2">
        <f>Tabla1[[#This Row],[date]]+48</f>
        <v>41515</v>
      </c>
      <c r="D39" s="1">
        <v>0.43280000000000002</v>
      </c>
      <c r="E39" s="1">
        <v>-64.007760364399999</v>
      </c>
      <c r="F39" s="1">
        <v>-22.513997597300001</v>
      </c>
      <c r="G39" s="1"/>
    </row>
    <row r="40" spans="1:7" ht="15.75" x14ac:dyDescent="0.25">
      <c r="A40" s="1" t="s">
        <v>32</v>
      </c>
      <c r="B40" s="2">
        <v>41483</v>
      </c>
      <c r="C40" s="2">
        <f>Tabla1[[#This Row],[date]]+48</f>
        <v>41531</v>
      </c>
      <c r="D40" s="1">
        <v>0.30499999999999999</v>
      </c>
      <c r="E40" s="1">
        <v>-64.041629725600004</v>
      </c>
      <c r="F40" s="1">
        <v>-22.625930438099999</v>
      </c>
      <c r="G40" s="1"/>
    </row>
    <row r="41" spans="1:7" ht="15.75" x14ac:dyDescent="0.25">
      <c r="A41" s="1" t="s">
        <v>38</v>
      </c>
      <c r="B41" s="2">
        <v>41483</v>
      </c>
      <c r="C41" s="2">
        <f>Tabla1[[#This Row],[date]]+48</f>
        <v>41531</v>
      </c>
      <c r="D41" s="1">
        <v>0.2903</v>
      </c>
      <c r="E41" s="1">
        <v>-64.002769090100003</v>
      </c>
      <c r="F41" s="1">
        <v>-22.624285025799999</v>
      </c>
      <c r="G41" s="1"/>
    </row>
    <row r="42" spans="1:7" ht="15.75" x14ac:dyDescent="0.25">
      <c r="A42" s="1" t="s">
        <v>19</v>
      </c>
      <c r="B42" s="2">
        <v>41499</v>
      </c>
      <c r="C42" s="2">
        <f>Tabla1[[#This Row],[date]]+48</f>
        <v>41547</v>
      </c>
      <c r="D42" s="1">
        <v>0.46250000000000002</v>
      </c>
      <c r="E42" s="1">
        <v>-64.083819785900005</v>
      </c>
      <c r="F42" s="1">
        <v>-22.552190894799999</v>
      </c>
      <c r="G42" s="1"/>
    </row>
    <row r="43" spans="1:7" ht="15.75" x14ac:dyDescent="0.25">
      <c r="A43" s="1" t="s">
        <v>31</v>
      </c>
      <c r="B43" s="2">
        <v>41499</v>
      </c>
      <c r="C43" s="2">
        <f>Tabla1[[#This Row],[date]]+48</f>
        <v>41547</v>
      </c>
      <c r="D43" s="1">
        <v>0.29520000000000002</v>
      </c>
      <c r="E43" s="1">
        <v>-64.044481882300005</v>
      </c>
      <c r="F43" s="1">
        <v>-22.5857767585</v>
      </c>
      <c r="G43" s="1"/>
    </row>
    <row r="44" spans="1:7" ht="15.75" x14ac:dyDescent="0.25">
      <c r="A44" s="1" t="s">
        <v>51</v>
      </c>
      <c r="B44" s="2">
        <v>41499</v>
      </c>
      <c r="C44" s="2">
        <f>Tabla1[[#This Row],[date]]+48</f>
        <v>41547</v>
      </c>
      <c r="D44" s="1">
        <v>0.2767</v>
      </c>
      <c r="E44" s="1">
        <v>-63.964621493800003</v>
      </c>
      <c r="F44" s="1">
        <v>-22.580839021999999</v>
      </c>
      <c r="G44" s="1"/>
    </row>
    <row r="45" spans="1:7" ht="15.75" x14ac:dyDescent="0.25">
      <c r="A45" s="1" t="s">
        <v>14</v>
      </c>
      <c r="B45" s="2">
        <v>41611</v>
      </c>
      <c r="C45" s="2">
        <f>Tabla1[[#This Row],[date]]+48</f>
        <v>41659</v>
      </c>
      <c r="D45" s="1">
        <v>0.44130000000000003</v>
      </c>
      <c r="E45" s="1">
        <v>-64.106516291199995</v>
      </c>
      <c r="F45" s="1">
        <v>-23.029444549600001</v>
      </c>
      <c r="G45" s="1"/>
    </row>
    <row r="46" spans="1:7" ht="15.75" x14ac:dyDescent="0.25">
      <c r="A46" s="1" t="s">
        <v>27</v>
      </c>
      <c r="B46" s="2">
        <v>41627</v>
      </c>
      <c r="C46" s="2">
        <f>Tabla1[[#This Row],[date]]+48</f>
        <v>41675</v>
      </c>
      <c r="D46" s="1">
        <v>0.34539999999999998</v>
      </c>
      <c r="E46" s="1">
        <v>-64.062854525299997</v>
      </c>
      <c r="F46" s="1">
        <v>-23.1376979705</v>
      </c>
      <c r="G46" s="1"/>
    </row>
    <row r="47" spans="1:7" ht="15.75" x14ac:dyDescent="0.25">
      <c r="A47" s="1" t="s">
        <v>12</v>
      </c>
      <c r="B47" s="2">
        <v>41672</v>
      </c>
      <c r="C47" s="2">
        <f>Tabla1[[#This Row],[date]]+48</f>
        <v>41720</v>
      </c>
      <c r="D47" s="1">
        <v>0.51880000000000004</v>
      </c>
      <c r="E47" s="1">
        <v>-64.105446732399997</v>
      </c>
      <c r="F47" s="1">
        <v>-22.959868062400002</v>
      </c>
      <c r="G47" s="1"/>
    </row>
    <row r="48" spans="1:7" ht="15.75" x14ac:dyDescent="0.25">
      <c r="A48" s="1" t="s">
        <v>15</v>
      </c>
      <c r="B48" s="2">
        <v>41672</v>
      </c>
      <c r="C48" s="2">
        <f>Tabla1[[#This Row],[date]]+48</f>
        <v>41720</v>
      </c>
      <c r="D48" s="1">
        <v>0.52139999999999997</v>
      </c>
      <c r="E48" s="1">
        <v>-64.1029510953</v>
      </c>
      <c r="F48" s="1">
        <v>-23.069139572499999</v>
      </c>
      <c r="G48" s="1"/>
    </row>
    <row r="49" spans="1:7" ht="15.75" x14ac:dyDescent="0.25">
      <c r="A49" s="1" t="s">
        <v>48</v>
      </c>
      <c r="B49" s="2">
        <v>41672</v>
      </c>
      <c r="C49" s="2">
        <f>Tabla1[[#This Row],[date]]+48</f>
        <v>41720</v>
      </c>
      <c r="D49" s="1">
        <v>0.47060000000000002</v>
      </c>
      <c r="E49" s="1">
        <v>-63.987438747699997</v>
      </c>
      <c r="F49" s="1">
        <v>-23.025179099199999</v>
      </c>
      <c r="G49" s="1"/>
    </row>
    <row r="50" spans="1:7" ht="15.75" x14ac:dyDescent="0.25">
      <c r="A50" s="1" t="s">
        <v>55</v>
      </c>
      <c r="B50" s="2">
        <v>41672</v>
      </c>
      <c r="C50" s="2">
        <f>Tabla1[[#This Row],[date]]+48</f>
        <v>41720</v>
      </c>
      <c r="D50" s="1">
        <v>0.45540000000000003</v>
      </c>
      <c r="E50" s="1">
        <v>-63.955708504</v>
      </c>
      <c r="F50" s="1">
        <v>-22.844265783899999</v>
      </c>
      <c r="G50" s="1"/>
    </row>
    <row r="51" spans="1:7" ht="15.75" x14ac:dyDescent="0.25">
      <c r="A51" s="1" t="s">
        <v>58</v>
      </c>
      <c r="B51" s="2">
        <v>41672</v>
      </c>
      <c r="C51" s="2">
        <f>Tabla1[[#This Row],[date]]+48</f>
        <v>41720</v>
      </c>
      <c r="D51" s="1">
        <v>0.47120000000000001</v>
      </c>
      <c r="E51" s="1">
        <v>-63.950717229799999</v>
      </c>
      <c r="F51" s="1">
        <v>-23.026819672999999</v>
      </c>
      <c r="G51" s="1"/>
    </row>
    <row r="52" spans="1:7" ht="15.75" x14ac:dyDescent="0.25">
      <c r="A52" s="1" t="s">
        <v>13</v>
      </c>
      <c r="B52" s="2">
        <v>41768</v>
      </c>
      <c r="C52" s="2">
        <f>Tabla1[[#This Row],[date]]+48</f>
        <v>41816</v>
      </c>
      <c r="D52" s="1">
        <v>0.4199</v>
      </c>
      <c r="E52" s="1">
        <v>-64.104020654099998</v>
      </c>
      <c r="F52" s="1">
        <v>-22.993019822899999</v>
      </c>
      <c r="G52" s="1"/>
    </row>
    <row r="53" spans="1:7" ht="15.75" x14ac:dyDescent="0.25">
      <c r="A53" s="1" t="s">
        <v>22</v>
      </c>
      <c r="B53" s="2">
        <v>41800</v>
      </c>
      <c r="C53" s="2">
        <f>Tabla1[[#This Row],[date]]+48</f>
        <v>41848</v>
      </c>
      <c r="D53" s="1">
        <v>0.35539999999999999</v>
      </c>
      <c r="E53" s="1">
        <v>-64.0747860476</v>
      </c>
      <c r="F53" s="1">
        <v>-22.772950581700002</v>
      </c>
      <c r="G53" s="1"/>
    </row>
    <row r="54" spans="1:7" ht="15.75" x14ac:dyDescent="0.25">
      <c r="A54" s="1" t="s">
        <v>34</v>
      </c>
      <c r="B54" s="2">
        <v>41816</v>
      </c>
      <c r="C54" s="2">
        <f>Tabla1[[#This Row],[date]]+48</f>
        <v>41864</v>
      </c>
      <c r="D54" s="1">
        <v>0.36180000000000001</v>
      </c>
      <c r="E54" s="1">
        <v>-64.035568892499995</v>
      </c>
      <c r="F54" s="1">
        <v>-22.812720805800002</v>
      </c>
      <c r="G54" s="1"/>
    </row>
    <row r="55" spans="1:7" ht="15.75" x14ac:dyDescent="0.25">
      <c r="A55" s="1" t="s">
        <v>33</v>
      </c>
      <c r="B55" s="2">
        <v>41848</v>
      </c>
      <c r="C55" s="2">
        <f>Tabla1[[#This Row],[date]]+48</f>
        <v>41896</v>
      </c>
      <c r="D55" s="1">
        <v>0.2833</v>
      </c>
      <c r="E55" s="1">
        <v>-64.042342764799997</v>
      </c>
      <c r="F55" s="1">
        <v>-22.659492548399999</v>
      </c>
      <c r="G55" s="1"/>
    </row>
    <row r="56" spans="1:7" ht="15.75" x14ac:dyDescent="0.25">
      <c r="A56" s="1" t="s">
        <v>42</v>
      </c>
      <c r="B56" s="2">
        <v>41912</v>
      </c>
      <c r="C56" s="2">
        <f>Tabla1[[#This Row],[date]]+48</f>
        <v>41960</v>
      </c>
      <c r="D56" s="1">
        <v>0.30180000000000001</v>
      </c>
      <c r="E56" s="1">
        <v>-63.9970647767</v>
      </c>
      <c r="F56" s="1">
        <v>-22.8449228932</v>
      </c>
      <c r="G56" s="1"/>
    </row>
    <row r="57" spans="1:7" ht="15.75" x14ac:dyDescent="0.25">
      <c r="A57" s="1" t="s">
        <v>43</v>
      </c>
      <c r="B57" s="2">
        <v>42053</v>
      </c>
      <c r="C57" s="2">
        <f>Tabla1[[#This Row],[date]]+48</f>
        <v>42101</v>
      </c>
      <c r="D57" s="1">
        <v>0.29220000000000002</v>
      </c>
      <c r="E57" s="1">
        <v>-63.947651161300001</v>
      </c>
      <c r="F57" s="1">
        <v>-23.1024830882</v>
      </c>
      <c r="G57" s="1"/>
    </row>
    <row r="58" spans="1:7" ht="15.75" x14ac:dyDescent="0.25">
      <c r="A58" s="1" t="s">
        <v>44</v>
      </c>
      <c r="B58" s="2">
        <v>42325</v>
      </c>
      <c r="C58" s="2">
        <f>Tabla1[[#This Row],[date]]+48</f>
        <v>42373</v>
      </c>
      <c r="D58" s="1">
        <v>0.26979999999999998</v>
      </c>
      <c r="E58" s="1">
        <v>-63.944085965399999</v>
      </c>
      <c r="F58" s="1">
        <v>-23.173620298100001</v>
      </c>
      <c r="G58" s="1"/>
    </row>
    <row r="59" spans="1:7" ht="15.75" x14ac:dyDescent="0.25">
      <c r="A59" s="1" t="s">
        <v>7</v>
      </c>
      <c r="B59" s="2">
        <v>42418</v>
      </c>
      <c r="C59" s="2">
        <f>Tabla1[[#This Row],[date]]+48</f>
        <v>42466</v>
      </c>
      <c r="D59" s="1">
        <v>0.22650000000000001</v>
      </c>
      <c r="E59" s="1">
        <v>-64.138032623100003</v>
      </c>
      <c r="F59" s="1">
        <v>-23.215238629800002</v>
      </c>
      <c r="G59" s="1"/>
    </row>
    <row r="60" spans="1:7" ht="15.75" x14ac:dyDescent="0.25">
      <c r="A60" s="1" t="s">
        <v>46</v>
      </c>
      <c r="B60" s="2">
        <v>42674</v>
      </c>
      <c r="C60" s="2">
        <f>Tabla1[[#This Row],[date]]+48</f>
        <v>42722</v>
      </c>
      <c r="D60" s="1">
        <v>0.16259999999999999</v>
      </c>
      <c r="E60" s="1">
        <v>-63.9406396093</v>
      </c>
      <c r="F60" s="1">
        <v>-23.248545801199999</v>
      </c>
      <c r="G60" s="1"/>
    </row>
    <row r="61" spans="1:7" ht="15.75" x14ac:dyDescent="0.25">
      <c r="A61" s="1" t="s">
        <v>28</v>
      </c>
      <c r="B61" s="2">
        <v>42800</v>
      </c>
      <c r="C61" s="2">
        <f>Tabla1[[#This Row],[date]]+48</f>
        <v>42848</v>
      </c>
      <c r="D61" s="1">
        <v>0.48930000000000001</v>
      </c>
      <c r="E61" s="1">
        <v>-64.022876795100004</v>
      </c>
      <c r="F61" s="1">
        <v>-23.175259059999998</v>
      </c>
      <c r="G61" s="1"/>
    </row>
    <row r="62" spans="1:7" ht="15.75" x14ac:dyDescent="0.25">
      <c r="A62" s="1" t="s">
        <v>41</v>
      </c>
      <c r="B62" s="2">
        <v>42800</v>
      </c>
      <c r="C62" s="2">
        <f>Tabla1[[#This Row],[date]]+48</f>
        <v>42848</v>
      </c>
      <c r="D62" s="1">
        <v>0.64690000000000003</v>
      </c>
      <c r="E62" s="1">
        <v>-63.997777815799999</v>
      </c>
      <c r="F62" s="1">
        <v>-22.811734907400002</v>
      </c>
      <c r="G62" s="1"/>
    </row>
    <row r="63" spans="1:7" ht="15.75" x14ac:dyDescent="0.25">
      <c r="A63" s="1" t="s">
        <v>54</v>
      </c>
      <c r="B63" s="2">
        <v>42816</v>
      </c>
      <c r="C63" s="2">
        <f>Tabla1[[#This Row],[date]]+48</f>
        <v>42864</v>
      </c>
      <c r="D63" s="1">
        <v>0.63290000000000002</v>
      </c>
      <c r="E63" s="1">
        <v>-63.957847621600003</v>
      </c>
      <c r="F63" s="1">
        <v>-22.810091727700001</v>
      </c>
      <c r="G63" s="1"/>
    </row>
    <row r="64" spans="1:7" ht="15.75" x14ac:dyDescent="0.25">
      <c r="A64" s="1" t="s">
        <v>32</v>
      </c>
      <c r="B64" s="2">
        <v>42928</v>
      </c>
      <c r="C64" s="2">
        <f>Tabla1[[#This Row],[date]]+48</f>
        <v>42976</v>
      </c>
      <c r="D64" s="1">
        <v>0.35339999999999999</v>
      </c>
      <c r="E64" s="1">
        <v>-64.041629725600004</v>
      </c>
      <c r="F64" s="1">
        <v>-22.625930438099999</v>
      </c>
      <c r="G64" s="1"/>
    </row>
    <row r="65" spans="1:7" ht="15.75" x14ac:dyDescent="0.25">
      <c r="A65" s="1" t="s">
        <v>38</v>
      </c>
      <c r="B65" s="2">
        <v>42928</v>
      </c>
      <c r="C65" s="2">
        <f>Tabla1[[#This Row],[date]]+48</f>
        <v>42976</v>
      </c>
      <c r="D65" s="1">
        <v>0.31640000000000001</v>
      </c>
      <c r="E65" s="1">
        <v>-64.002769090100003</v>
      </c>
      <c r="F65" s="1">
        <v>-22.624285025799999</v>
      </c>
      <c r="G65" s="1"/>
    </row>
    <row r="66" spans="1:7" ht="15.75" x14ac:dyDescent="0.25">
      <c r="A66" s="1" t="s">
        <v>31</v>
      </c>
      <c r="B66" s="2">
        <v>42944</v>
      </c>
      <c r="C66" s="2">
        <f>Tabla1[[#This Row],[date]]+48</f>
        <v>42992</v>
      </c>
      <c r="D66" s="1">
        <v>0.3679</v>
      </c>
      <c r="E66" s="1">
        <v>-64.044481882300005</v>
      </c>
      <c r="F66" s="1">
        <v>-22.5857767585</v>
      </c>
      <c r="G66" s="1"/>
    </row>
    <row r="67" spans="1:7" ht="15.75" x14ac:dyDescent="0.25">
      <c r="A67" s="1" t="s">
        <v>17</v>
      </c>
      <c r="B67" s="2">
        <v>43040</v>
      </c>
      <c r="C67" s="2">
        <f>Tabla1[[#This Row],[date]]+48</f>
        <v>43088</v>
      </c>
      <c r="D67" s="1">
        <v>0.30819999999999997</v>
      </c>
      <c r="E67" s="1">
        <v>-64.099932562800007</v>
      </c>
      <c r="F67" s="1">
        <v>-23.140495528799999</v>
      </c>
      <c r="G67" s="1"/>
    </row>
    <row r="68" spans="1:7" ht="15.75" x14ac:dyDescent="0.25">
      <c r="A68" s="19" t="s">
        <v>5</v>
      </c>
      <c r="B68" s="20">
        <v>43117</v>
      </c>
      <c r="C68" s="20">
        <f>Tabla1[[#This Row],[date]]+48</f>
        <v>43165</v>
      </c>
      <c r="D68" s="19">
        <v>0.2263</v>
      </c>
      <c r="E68" s="19">
        <v>-64.147159524599999</v>
      </c>
      <c r="F68" s="19">
        <v>-22.8498511116</v>
      </c>
      <c r="G68" s="1"/>
    </row>
    <row r="69" spans="1:7" ht="15.75" x14ac:dyDescent="0.25">
      <c r="A69" s="9" t="s">
        <v>6</v>
      </c>
      <c r="B69" s="10">
        <v>43181</v>
      </c>
      <c r="C69" s="10">
        <f>Tabla1[[#This Row],[date]]+48</f>
        <v>43229</v>
      </c>
      <c r="D69" s="9">
        <v>0.59640000000000004</v>
      </c>
      <c r="E69" s="9">
        <v>-64.148585603000001</v>
      </c>
      <c r="F69" s="9">
        <v>-22.926708173600002</v>
      </c>
      <c r="G69" s="1"/>
    </row>
    <row r="70" spans="1:7" ht="15.75" x14ac:dyDescent="0.25">
      <c r="A70" s="9" t="s">
        <v>52</v>
      </c>
      <c r="B70" s="10">
        <v>43357</v>
      </c>
      <c r="C70" s="10">
        <f>Tabla1[[#This Row],[date]]+48</f>
        <v>43405</v>
      </c>
      <c r="D70" s="9">
        <v>0.30980000000000002</v>
      </c>
      <c r="E70" s="9">
        <v>-63.965334532999996</v>
      </c>
      <c r="F70" s="9">
        <v>-22.622310505000002</v>
      </c>
      <c r="G70" s="1"/>
    </row>
    <row r="71" spans="1:7" ht="15.75" x14ac:dyDescent="0.25">
      <c r="A71" s="9" t="s">
        <v>11</v>
      </c>
      <c r="B71" s="10">
        <v>43453</v>
      </c>
      <c r="C71" s="10">
        <f>Tabla1[[#This Row],[date]]+48</f>
        <v>43501</v>
      </c>
      <c r="D71" s="9">
        <v>0.77280000000000004</v>
      </c>
      <c r="E71" s="9">
        <v>-64.106872810799999</v>
      </c>
      <c r="F71" s="9">
        <v>-22.925723102199999</v>
      </c>
      <c r="G71" s="1"/>
    </row>
    <row r="72" spans="1:7" ht="15.75" x14ac:dyDescent="0.25">
      <c r="A72" s="9" t="s">
        <v>18</v>
      </c>
      <c r="B72" s="10">
        <v>43453</v>
      </c>
      <c r="C72" s="10">
        <f>Tabla1[[#This Row],[date]]+48</f>
        <v>43501</v>
      </c>
      <c r="D72" s="9">
        <v>0.70730000000000004</v>
      </c>
      <c r="E72" s="9">
        <v>-64.100598066000003</v>
      </c>
      <c r="F72" s="9">
        <v>-23.175259059999998</v>
      </c>
      <c r="G72" s="1"/>
    </row>
    <row r="73" spans="1:7" ht="15.75" x14ac:dyDescent="0.25">
      <c r="A73" s="9" t="s">
        <v>30</v>
      </c>
      <c r="B73" s="10">
        <v>43453</v>
      </c>
      <c r="C73" s="10">
        <f>Tabla1[[#This Row],[date]]+48</f>
        <v>43501</v>
      </c>
      <c r="D73" s="9">
        <v>0.55210000000000004</v>
      </c>
      <c r="E73" s="9">
        <v>-64.018836239699993</v>
      </c>
      <c r="F73" s="9">
        <v>-23.251166340600001</v>
      </c>
      <c r="G73" s="1"/>
    </row>
    <row r="74" spans="1:7" ht="15.75" x14ac:dyDescent="0.25">
      <c r="A74" s="9" t="s">
        <v>51</v>
      </c>
      <c r="B74" s="10">
        <v>43453</v>
      </c>
      <c r="C74" s="10">
        <f>Tabla1[[#This Row],[date]]+48</f>
        <v>43501</v>
      </c>
      <c r="D74" s="9">
        <v>0.68640000000000001</v>
      </c>
      <c r="E74" s="9">
        <v>-63.964621493800003</v>
      </c>
      <c r="F74" s="9">
        <v>-22.580839021999999</v>
      </c>
      <c r="G74" s="1"/>
    </row>
    <row r="75" spans="1:7" ht="15.75" x14ac:dyDescent="0.25">
      <c r="A75" s="9" t="s">
        <v>8</v>
      </c>
      <c r="B75" s="10">
        <v>43594</v>
      </c>
      <c r="C75" s="10">
        <f>Tabla1[[#This Row],[date]]+48</f>
        <v>43642</v>
      </c>
      <c r="D75" s="9">
        <v>0.43730000000000002</v>
      </c>
      <c r="E75" s="9">
        <v>-64.112577124300003</v>
      </c>
      <c r="F75" s="9">
        <v>-22.814363953800001</v>
      </c>
      <c r="G75" s="1" t="s">
        <v>67</v>
      </c>
    </row>
    <row r="76" spans="1:7" ht="15.75" x14ac:dyDescent="0.25">
      <c r="A76" s="9" t="s">
        <v>35</v>
      </c>
      <c r="B76" s="10">
        <v>43610</v>
      </c>
      <c r="C76" s="10">
        <f>Tabla1[[#This Row],[date]]+48</f>
        <v>43658</v>
      </c>
      <c r="D76" s="9">
        <v>0.42759999999999998</v>
      </c>
      <c r="E76" s="9">
        <v>-64.036281931700003</v>
      </c>
      <c r="F76" s="9">
        <v>-22.845908551200001</v>
      </c>
      <c r="G76" s="21" t="s">
        <v>66</v>
      </c>
    </row>
    <row r="77" spans="1:7" ht="15.75" x14ac:dyDescent="0.25">
      <c r="A77" s="9" t="s">
        <v>10</v>
      </c>
      <c r="B77" s="10">
        <v>43658</v>
      </c>
      <c r="C77" s="10">
        <f>Tabla1[[#This Row],[date]]+48</f>
        <v>43706</v>
      </c>
      <c r="D77" s="9">
        <v>0.38790000000000002</v>
      </c>
      <c r="E77" s="9">
        <v>-64.1097249675</v>
      </c>
      <c r="F77" s="9">
        <v>-22.88532901</v>
      </c>
      <c r="G77" s="21" t="s">
        <v>66</v>
      </c>
    </row>
    <row r="78" spans="1:7" ht="15.75" x14ac:dyDescent="0.25">
      <c r="A78" s="9" t="s">
        <v>23</v>
      </c>
      <c r="B78" s="10">
        <v>43658</v>
      </c>
      <c r="C78" s="10">
        <f>Tabla1[[#This Row],[date]]+48</f>
        <v>43706</v>
      </c>
      <c r="D78" s="9">
        <v>0.40139999999999998</v>
      </c>
      <c r="E78" s="9">
        <v>-64.073359969199998</v>
      </c>
      <c r="F78" s="9">
        <v>-22.847551298599999</v>
      </c>
      <c r="G78" s="21" t="s">
        <v>66</v>
      </c>
    </row>
    <row r="79" spans="1:7" ht="15.75" x14ac:dyDescent="0.25">
      <c r="A79" s="9" t="s">
        <v>25</v>
      </c>
      <c r="B79" s="10">
        <v>43658</v>
      </c>
      <c r="C79" s="10">
        <f>Tabla1[[#This Row],[date]]+48</f>
        <v>43706</v>
      </c>
      <c r="D79" s="9">
        <v>0.34770000000000001</v>
      </c>
      <c r="E79" s="9">
        <v>-64.070507812499997</v>
      </c>
      <c r="F79" s="9">
        <v>-22.923424574399998</v>
      </c>
      <c r="G79" s="21" t="s">
        <v>66</v>
      </c>
    </row>
    <row r="80" spans="1:7" ht="15.75" x14ac:dyDescent="0.25">
      <c r="A80" s="9" t="s">
        <v>24</v>
      </c>
      <c r="B80" s="10">
        <v>43674</v>
      </c>
      <c r="C80" s="10">
        <f>Tabla1[[#This Row],[date]]+48</f>
        <v>43722</v>
      </c>
      <c r="D80" s="9">
        <v>0.35</v>
      </c>
      <c r="E80" s="9">
        <v>-64.071577371299995</v>
      </c>
      <c r="F80" s="9">
        <v>-22.884015178999999</v>
      </c>
      <c r="G80" s="21" t="s">
        <v>66</v>
      </c>
    </row>
    <row r="81" spans="1:7" ht="15.75" x14ac:dyDescent="0.25">
      <c r="A81" s="9" t="s">
        <v>9</v>
      </c>
      <c r="B81" s="10">
        <v>43706</v>
      </c>
      <c r="C81" s="10">
        <f>Tabla1[[#This Row],[date]]+48</f>
        <v>43754</v>
      </c>
      <c r="D81" s="9">
        <v>0.3407</v>
      </c>
      <c r="E81" s="9">
        <v>-64.110438006699994</v>
      </c>
      <c r="F81" s="9">
        <v>-22.850179653200001</v>
      </c>
      <c r="G81" s="21" t="s">
        <v>66</v>
      </c>
    </row>
    <row r="82" spans="1:7" ht="15.75" x14ac:dyDescent="0.25">
      <c r="A82" s="9" t="s">
        <v>49</v>
      </c>
      <c r="B82" s="10">
        <v>43722</v>
      </c>
      <c r="C82" s="10">
        <f>Tabla1[[#This Row],[date]]+48</f>
        <v>43770</v>
      </c>
      <c r="D82" s="9">
        <v>0.32950000000000002</v>
      </c>
      <c r="E82" s="9">
        <v>-63.923305395699998</v>
      </c>
      <c r="F82" s="9">
        <v>-22.436311847900001</v>
      </c>
      <c r="G82" s="21" t="s">
        <v>66</v>
      </c>
    </row>
    <row r="83" spans="1:7" ht="15.75" x14ac:dyDescent="0.25">
      <c r="A83" s="9" t="s">
        <v>26</v>
      </c>
      <c r="B83" s="10">
        <v>43738</v>
      </c>
      <c r="C83" s="10">
        <f>Tabla1[[#This Row],[date]]+48</f>
        <v>43786</v>
      </c>
      <c r="D83" s="9">
        <v>0.23960000000000001</v>
      </c>
      <c r="E83" s="9">
        <v>-64.066229577399994</v>
      </c>
      <c r="F83" s="9">
        <v>-23.029772655599999</v>
      </c>
      <c r="G83" s="1" t="s">
        <v>64</v>
      </c>
    </row>
    <row r="84" spans="1:7" ht="15.75" x14ac:dyDescent="0.25">
      <c r="A84" s="9" t="s">
        <v>53</v>
      </c>
      <c r="B84" s="10">
        <v>43818</v>
      </c>
      <c r="C84" s="10">
        <f>Tabla1[[#This Row],[date]]+48</f>
        <v>43866</v>
      </c>
      <c r="D84" s="9">
        <v>0.60829999999999995</v>
      </c>
      <c r="E84" s="9">
        <v>-63.959273699999997</v>
      </c>
      <c r="F84" s="9">
        <v>-22.697651250300002</v>
      </c>
      <c r="G84" s="1" t="s">
        <v>65</v>
      </c>
    </row>
    <row r="85" spans="1:7" ht="15.75" x14ac:dyDescent="0.25">
      <c r="A85" s="9" t="s">
        <v>40</v>
      </c>
      <c r="B85" s="10">
        <v>43863</v>
      </c>
      <c r="C85" s="10">
        <f>Tabla1[[#This Row],[date]]+48</f>
        <v>43911</v>
      </c>
      <c r="D85" s="9">
        <v>0.55630000000000002</v>
      </c>
      <c r="E85" s="9">
        <v>-63.999916933400002</v>
      </c>
      <c r="F85" s="9">
        <v>-22.736456957800002</v>
      </c>
      <c r="G85" s="1"/>
    </row>
    <row r="86" spans="1:7" ht="15.75" x14ac:dyDescent="0.25">
      <c r="A86" s="9" t="s">
        <v>14</v>
      </c>
      <c r="B86" s="10">
        <v>44023</v>
      </c>
      <c r="C86" s="10">
        <f>Tabla1[[#This Row],[date]]+48</f>
        <v>44071</v>
      </c>
      <c r="D86" s="9">
        <v>0.34489999999999998</v>
      </c>
      <c r="E86" s="9">
        <v>-64.106516291199995</v>
      </c>
      <c r="F86" s="9">
        <v>-23.029444549600001</v>
      </c>
      <c r="G86" s="1"/>
    </row>
    <row r="87" spans="1:7" ht="15.75" x14ac:dyDescent="0.25">
      <c r="A87" s="9" t="s">
        <v>21</v>
      </c>
      <c r="B87" s="10">
        <v>44039</v>
      </c>
      <c r="C87" s="10">
        <f>Tabla1[[#This Row],[date]]+48</f>
        <v>44087</v>
      </c>
      <c r="D87" s="9">
        <v>0.42909999999999998</v>
      </c>
      <c r="E87" s="9">
        <v>-64.079420802300007</v>
      </c>
      <c r="F87" s="9">
        <v>-22.699295783099998</v>
      </c>
      <c r="G87" s="1"/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94E01-015A-439E-B8BE-52B7173E0AFB}">
  <dimension ref="C3:G7"/>
  <sheetViews>
    <sheetView workbookViewId="0">
      <selection activeCell="G8" sqref="G8"/>
    </sheetView>
  </sheetViews>
  <sheetFormatPr baseColWidth="10" defaultRowHeight="15" x14ac:dyDescent="0.25"/>
  <sheetData>
    <row r="3" spans="3:7" x14ac:dyDescent="0.25">
      <c r="C3" t="s">
        <v>60</v>
      </c>
    </row>
    <row r="5" spans="3:7" ht="15.75" x14ac:dyDescent="0.25">
      <c r="C5" s="5" t="s">
        <v>21</v>
      </c>
      <c r="D5" s="15">
        <v>44123</v>
      </c>
      <c r="E5" s="7">
        <v>-64.079420802300007</v>
      </c>
      <c r="F5" s="8">
        <v>-22.699295783099998</v>
      </c>
      <c r="G5" t="s">
        <v>61</v>
      </c>
    </row>
    <row r="6" spans="3:7" ht="15.75" x14ac:dyDescent="0.25">
      <c r="C6" s="11" t="s">
        <v>14</v>
      </c>
      <c r="D6" s="12">
        <v>44123</v>
      </c>
      <c r="E6" s="13">
        <v>-64.106516291199995</v>
      </c>
      <c r="F6" s="14">
        <v>-23.029444549600001</v>
      </c>
      <c r="G6" t="s">
        <v>61</v>
      </c>
    </row>
    <row r="7" spans="3:7" ht="15.75" x14ac:dyDescent="0.25">
      <c r="C7" s="16" t="s">
        <v>40</v>
      </c>
      <c r="D7" s="15">
        <v>43899</v>
      </c>
      <c r="E7" s="17">
        <v>-63.999916933400002</v>
      </c>
      <c r="F7" s="18">
        <v>-22.736456957800002</v>
      </c>
      <c r="G7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 1</vt:lpstr>
      <vt:lpstr>Parcelas_Visitar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Estudiante</dc:creator>
  <cp:lastModifiedBy>Joel Cabrera Vivas</cp:lastModifiedBy>
  <dcterms:created xsi:type="dcterms:W3CDTF">2025-07-24T00:00:08Z</dcterms:created>
  <dcterms:modified xsi:type="dcterms:W3CDTF">2025-07-24T19:57:29Z</dcterms:modified>
</cp:coreProperties>
</file>